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46B80C3D-AD93-44D5-980F-53A725EA4992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S99" i="8" s="1"/>
  <c r="U98" i="8"/>
  <c r="V98" i="8" s="1"/>
  <c r="T98" i="8"/>
  <c r="W98" i="8" s="1"/>
  <c r="P98" i="8"/>
  <c r="S98" i="8" s="1"/>
  <c r="U97" i="8"/>
  <c r="V97" i="8" s="1"/>
  <c r="T97" i="8"/>
  <c r="W97" i="8" s="1"/>
  <c r="P97" i="8"/>
  <c r="Q97" i="8" s="1"/>
  <c r="U96" i="8"/>
  <c r="V96" i="8" s="1"/>
  <c r="T96" i="8"/>
  <c r="W96" i="8" s="1"/>
  <c r="P96" i="8"/>
  <c r="S96" i="8" s="1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S86" i="8" s="1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U59" i="8"/>
  <c r="V59" i="8" s="1"/>
  <c r="T59" i="8"/>
  <c r="W59" i="8" s="1"/>
  <c r="P59" i="8"/>
  <c r="U58" i="8"/>
  <c r="V58" i="8" s="1"/>
  <c r="T58" i="8"/>
  <c r="W58" i="8" s="1"/>
  <c r="P58" i="8"/>
  <c r="S58" i="8" s="1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28" i="6" l="1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45" i="8" l="1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<sst xmlns="http://schemas.openxmlformats.org/spreadsheetml/2006/main" count="1086" uniqueCount="403">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</sst>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3" workbookViewId="0">
      <selection activeCell="B34" sqref="B34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6" sqref="F6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9" workbookViewId="0">
      <selection activeCell="D17" sqref="D17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1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1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1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1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1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5</v>
      </c>
      <c r="I27" s="29">
        <f>SUMPRODUCT((Fixtures!D$5:D$76=B27)*(Fixtures!F$5:F$76&lt;&gt;"")*Fixtures!F$5:F$76)+SUMPRODUCT((Fixtures!G$5:G$76=B27)*(Fixtures!E$5:E$76&lt;&gt;"")*Fixtures!E$5:E$76)</f>
        <v>1</v>
      </c>
      <c r="J27" s="29">
        <f t="shared" si="0"/>
        <v>4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1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1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5</v>
      </c>
      <c r="J28" s="29">
        <f t="shared" si="0"/>
        <v>-4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1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1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2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1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2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1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1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1</v>
      </c>
      <c r="I35" s="31">
        <f>SUMPRODUCT((Fixtures!D$5:D$76=B35)*(Fixtures!F$5:F$76&lt;&gt;"")*Fixtures!F$5:F$76)+SUMPRODUCT((Fixtures!G$5:G$76=B35)*(Fixtures!E$5:E$76&lt;&gt;"")*Fixtures!E$5:E$76)</f>
        <v>1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2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1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1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1</v>
      </c>
      <c r="I36" s="31">
        <f>SUMPRODUCT((Fixtures!D$5:D$76=B36)*(Fixtures!F$5:F$76&lt;&gt;"")*Fixtures!F$5:F$76)+SUMPRODUCT((Fixtures!G$5:G$76=B36)*(Fixtures!E$5:E$76&lt;&gt;"")*Fixtures!E$5:E$76)</f>
        <v>1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2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B20" sqref="B20:D20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Kate Ingrey</v>
      </c>
      <c r="C7" s="51" t="str">
        <f>IFERROR(INDEX($I$5:$I$104,MATCH(3,$N$5:$N$104,0)),"")</f>
        <v>Ivory Coast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23</v>
      </c>
    </row>
    <row r="8" spans="1:14" x14ac:dyDescent="0.25">
      <c r="A8" s="43">
        <v>4</v>
      </c>
      <c r="B8" s="44" t="str">
        <f>IFERROR(INDEX($H$5:$H$104,MATCH(4,$N$5:$N$104,0)),"")</f>
        <v>Cheari Lee</v>
      </c>
      <c r="C8" s="44" t="str">
        <f>IFERROR(INDEX($I$5:$I$104,MATCH(4,$N$5:$N$104,0)),"")</f>
        <v>Sweden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24</v>
      </c>
    </row>
    <row r="9" spans="1:14" x14ac:dyDescent="0.25">
      <c r="A9" s="43">
        <v>5</v>
      </c>
      <c r="B9" s="44" t="str">
        <f>IFERROR(INDEX($H$5:$H$104,MATCH(5,$N$5:$N$104,0)),"")</f>
        <v>Connor Scicluna</v>
      </c>
      <c r="C9" s="44" t="str">
        <f>IFERROR(INDEX($I$5:$I$104,MATCH(5,$N$5:$N$104,0)),"")</f>
        <v>Mexico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9</v>
      </c>
    </row>
    <row r="10" spans="1:14" x14ac:dyDescent="0.25">
      <c r="A10" s="43">
        <v>6</v>
      </c>
      <c r="B10" s="44" t="str">
        <f>IFERROR(INDEX($H$5:$H$104,MATCH(6,$N$5:$N$104,0)),"")</f>
        <v>Prasantha Nandulamatam</v>
      </c>
      <c r="C10" s="44" t="str">
        <f>IFERROR(INDEX($I$5:$I$104,MATCH(6,$N$5:$N$104,0)),"")</f>
        <v>Australia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25</v>
      </c>
    </row>
    <row r="11" spans="1:14" x14ac:dyDescent="0.25">
      <c r="A11" s="43">
        <v>7</v>
      </c>
      <c r="B11" s="44" t="str">
        <f>IFERROR(INDEX($H$5:$H$104,MATCH(7,$N$5:$N$104,0)),"")</f>
        <v>Sean Farley</v>
      </c>
      <c r="C11" s="44" t="str">
        <f>IFERROR(INDEX($I$5:$I$104,MATCH(7,$N$5:$N$104,0)),"")</f>
        <v>United States</v>
      </c>
      <c r="D11" s="43">
        <f>IFERROR(INDEX($J$5:$J$104,MATCH(7,$N$5:$N$104,0)),"")</f>
        <v>3</v>
      </c>
      <c r="E11" s="43">
        <f>IFERROR(INDEX($K$5:$K$104,MATCH(7,$N$5:$N$104,0)),"")</f>
        <v>1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26</v>
      </c>
    </row>
    <row r="12" spans="1:14" x14ac:dyDescent="0.25">
      <c r="A12" s="43">
        <v>8</v>
      </c>
      <c r="B12" s="44" t="str">
        <f>IFERROR(INDEX($H$5:$H$104,MATCH(8,$N$5:$N$104,0)),"")</f>
        <v>Kamini Gounder</v>
      </c>
      <c r="C12" s="44" t="str">
        <f>IFERROR(INDEX($I$5:$I$104,MATCH(8,$N$5:$N$104,0)),"")</f>
        <v>South Korea</v>
      </c>
      <c r="D12" s="43">
        <f>IFERROR(INDEX($J$5:$J$104,MATCH(8,$N$5:$N$104,0)),"")</f>
        <v>3</v>
      </c>
      <c r="E12" s="43">
        <f>IFERROR(INDEX($K$5:$K$104,MATCH(8,$N$5:$N$104,0)),"")</f>
        <v>1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1</v>
      </c>
      <c r="N12">
        <f>IF(H12="","",COUNTIFS($J$5:$J$104,"&gt;"&amp;J12,$H$5:$H$104,"&lt;&gt;")+COUNTIFS($J$5:$J12,J12,$H$5:$H12,"&lt;&gt;"))</f>
        <v>3</v>
      </c>
    </row>
    <row r="13" spans="1:14" x14ac:dyDescent="0.25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27</v>
      </c>
    </row>
    <row r="14" spans="1:14" x14ac:dyDescent="0.25">
      <c r="A14" s="43">
        <v>10</v>
      </c>
      <c r="B14" s="44" t="str">
        <f>IFERROR(INDEX($H$5:$H$104,MATCH(10,$N$5:$N$104,0)),"")</f>
        <v>Krystal Gerrie</v>
      </c>
      <c r="C14" s="44" t="str">
        <f>IFERROR(INDEX($I$5:$I$104,MATCH(10,$N$5:$N$104,0)),"")</f>
        <v>Morocco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10</v>
      </c>
    </row>
    <row r="15" spans="1:14" x14ac:dyDescent="0.25">
      <c r="A15" s="43">
        <v>11</v>
      </c>
      <c r="B15" s="44" t="str">
        <f>IFERROR(INDEX($H$5:$H$104,MATCH(11,$N$5:$N$104,0)),"")</f>
        <v>Matthew Johnson</v>
      </c>
      <c r="C15" s="44" t="str">
        <f>IFERROR(INDEX($I$5:$I$104,MATCH(11,$N$5:$N$104,0)),"")</f>
        <v>Qatar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28</v>
      </c>
    </row>
    <row r="16" spans="1:14" x14ac:dyDescent="0.25">
      <c r="A16" s="43">
        <v>12</v>
      </c>
      <c r="B16" s="44" t="str">
        <f>IFERROR(INDEX($H$5:$H$104,MATCH(12,$N$5:$N$104,0)),"")</f>
        <v>Hugh Kuiper</v>
      </c>
      <c r="C16" s="44" t="str">
        <f>IFERROR(INDEX($I$5:$I$104,MATCH(12,$N$5:$N$104,0)),"")</f>
        <v>Uruguay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11</v>
      </c>
    </row>
    <row r="17" spans="1:14" x14ac:dyDescent="0.25">
      <c r="A17" s="43">
        <v>13</v>
      </c>
      <c r="B17" s="44" t="str">
        <f>IFERROR(INDEX($H$5:$H$104,MATCH(13,$N$5:$N$104,0)),"")</f>
        <v>Owen Saliba</v>
      </c>
      <c r="C17" s="44" t="str">
        <f>IFERROR(INDEX($I$5:$I$104,MATCH(13,$N$5:$N$104,0)),"")</f>
        <v>Egypt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29</v>
      </c>
    </row>
    <row r="18" spans="1:14" x14ac:dyDescent="0.25">
      <c r="A18" s="43">
        <v>14</v>
      </c>
      <c r="B18" s="44" t="str">
        <f>IFERROR(INDEX($H$5:$H$104,MATCH(14,$N$5:$N$104,0)),"")</f>
        <v>Kate Higgs</v>
      </c>
      <c r="C18" s="44" t="str">
        <f>IFERROR(INDEX($I$5:$I$104,MATCH(14,$N$5:$N$104,0)),"")</f>
        <v>Canada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-4</v>
      </c>
      <c r="N18">
        <f>IF(H18="","",COUNTIFS($J$5:$J$104,"&gt;"&amp;J18,$H$5:$H$104,"&lt;&gt;")+COUNTIFS($J$5:$J18,J18,$H$5:$H18,"&lt;&gt;"))</f>
        <v>30</v>
      </c>
    </row>
    <row r="19" spans="1:14" x14ac:dyDescent="0.25">
      <c r="A19" s="43">
        <v>15</v>
      </c>
      <c r="B19" s="44" t="str">
        <f>IFERROR(INDEX($H$5:$H$104,MATCH(15,$N$5:$N$104,0)),"")</f>
        <v>Jackson Whiteside</v>
      </c>
      <c r="C19" s="44" t="str">
        <f>IFERROR(INDEX($I$5:$I$104,MATCH(15,$N$5:$N$104,0)),"")</f>
        <v>Japan</v>
      </c>
      <c r="D19" s="43">
        <f>IFERROR(INDEX($J$5:$J$104,MATCH(15,$N$5:$N$104,0)),"")</f>
        <v>2</v>
      </c>
      <c r="E19" s="43">
        <f>IFERROR(INDEX($K$5:$K$104,MATCH(15,$N$5:$N$104,0)),"")</f>
        <v>0</v>
      </c>
      <c r="F19" s="43">
        <f>IFERROR(INDEX($L$5:$L$104,MATCH(15,$N$5:$N$104,0)),"")</f>
        <v>1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31</v>
      </c>
    </row>
    <row r="20" spans="1:14" x14ac:dyDescent="0.25">
      <c r="A20" s="43">
        <v>16</v>
      </c>
      <c r="B20" s="44" t="str">
        <f>IFERROR(INDEX($H$5:$H$104,MATCH(16,$N$5:$N$104,0)),"")</f>
        <v>Lorraine Medina</v>
      </c>
      <c r="C20" s="44" t="str">
        <f>IFERROR(INDEX($I$5:$I$104,MATCH(16,$N$5:$N$104,0)),"")</f>
        <v>Belgium</v>
      </c>
      <c r="D20" s="43">
        <f>IFERROR(INDEX($J$5:$J$104,MATCH(16,$N$5:$N$104,0)),"")</f>
        <v>2</v>
      </c>
      <c r="E20" s="43">
        <f>IFERROR(INDEX($K$5:$K$104,MATCH(16,$N$5:$N$104,0)),"")</f>
        <v>0</v>
      </c>
      <c r="F20" s="43">
        <f>IFERROR(INDEX($L$5:$L$104,MATCH(16,$N$5:$N$104,0)),"")</f>
        <v>1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32</v>
      </c>
    </row>
    <row r="21" spans="1:14" x14ac:dyDescent="0.25">
      <c r="A21" s="43">
        <v>17</v>
      </c>
      <c r="B21" s="44" t="str">
        <f>IFERROR(INDEX($H$5:$H$104,MATCH(17,$N$5:$N$104,0)),"")</f>
        <v>Gerard Corboz</v>
      </c>
      <c r="C21" s="44" t="str">
        <f>IFERROR(INDEX($I$5:$I$104,MATCH(17,$N$5:$N$104,0)),"")</f>
        <v>Spain</v>
      </c>
      <c r="D21" s="43">
        <f>IFERROR(INDEX($J$5:$J$104,MATCH(17,$N$5:$N$104,0)),"")</f>
        <v>2</v>
      </c>
      <c r="E21" s="43">
        <f>IFERROR(INDEX($K$5:$K$104,MATCH(17,$N$5:$N$104,0)),"")</f>
        <v>0</v>
      </c>
      <c r="F21" s="43">
        <f>IFERROR(INDEX($L$5:$L$104,MATCH(17,$N$5:$N$104,0)),"")</f>
        <v>1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4</v>
      </c>
      <c r="N21">
        <f>IF(H21="","",COUNTIFS($J$5:$J$104,"&gt;"&amp;J21,$H$5:$H$104,"&lt;&gt;")+COUNTIFS($J$5:$J21,J21,$H$5:$H21,"&lt;&gt;"))</f>
        <v>4</v>
      </c>
    </row>
    <row r="22" spans="1:14" x14ac:dyDescent="0.25">
      <c r="A22" s="43">
        <v>18</v>
      </c>
      <c r="B22" s="44" t="str">
        <f>IFERROR(INDEX($H$5:$H$104,MATCH(18,$N$5:$N$104,0)),"")</f>
        <v>Beau Prendergast</v>
      </c>
      <c r="C22" s="44" t="str">
        <f>IFERROR(INDEX($I$5:$I$104,MATCH(18,$N$5:$N$104,0)),"")</f>
        <v>Brazil</v>
      </c>
      <c r="D22" s="43">
        <f>IFERROR(INDEX($J$5:$J$104,MATCH(18,$N$5:$N$104,0)),"")</f>
        <v>2</v>
      </c>
      <c r="E22" s="43">
        <f>IFERROR(INDEX($K$5:$K$104,MATCH(18,$N$5:$N$104,0)),"")</f>
        <v>0</v>
      </c>
      <c r="F22" s="43">
        <f>IFERROR(INDEX($L$5:$L$104,MATCH(18,$N$5:$N$104,0)),"")</f>
        <v>1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2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1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12</v>
      </c>
    </row>
    <row r="23" spans="1:14" x14ac:dyDescent="0.25">
      <c r="A23" s="43">
        <v>19</v>
      </c>
      <c r="B23" s="44" t="str">
        <f>IFERROR(INDEX($H$5:$H$104,MATCH(19,$N$5:$N$104,0)),"")</f>
        <v>Joel Reid</v>
      </c>
      <c r="C23" s="44" t="str">
        <f>IFERROR(INDEX($I$5:$I$104,MATCH(19,$N$5:$N$104,0)),"")</f>
        <v>Netherlands</v>
      </c>
      <c r="D23" s="43">
        <f>IFERROR(INDEX($J$5:$J$104,MATCH(19,$N$5:$N$104,0)),"")</f>
        <v>2</v>
      </c>
      <c r="E23" s="43">
        <f>IFERROR(INDEX($K$5:$K$104,MATCH(19,$N$5:$N$104,0)),"")</f>
        <v>0</v>
      </c>
      <c r="F23" s="43">
        <f>IFERROR(INDEX($L$5:$L$104,MATCH(19,$N$5:$N$104,0)),"")</f>
        <v>1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33</v>
      </c>
    </row>
    <row r="24" spans="1:14" x14ac:dyDescent="0.25">
      <c r="A24" s="43">
        <v>20</v>
      </c>
      <c r="B24" s="44" t="str">
        <f>IFERROR(INDEX($H$5:$H$104,MATCH(20,$N$5:$N$104,0)),"")</f>
        <v>Phantom 1</v>
      </c>
      <c r="C24" s="44" t="str">
        <f>IFERROR(INDEX($I$5:$I$104,MATCH(20,$N$5:$N$104,0)),"")</f>
        <v>Saudi Arabia</v>
      </c>
      <c r="D24" s="43">
        <f>IFERROR(INDEX($J$5:$J$104,MATCH(20,$N$5:$N$104,0)),"")</f>
        <v>2</v>
      </c>
      <c r="E24" s="43">
        <f>IFERROR(INDEX($K$5:$K$104,MATCH(20,$N$5:$N$104,0)),"")</f>
        <v>0</v>
      </c>
      <c r="F24" s="43">
        <f>IFERROR(INDEX($L$5:$L$104,MATCH(20,$N$5:$N$104,0)),"")</f>
        <v>1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5</v>
      </c>
    </row>
    <row r="25" spans="1:14" x14ac:dyDescent="0.25">
      <c r="A25" s="43">
        <v>21</v>
      </c>
      <c r="B25" s="44" t="str">
        <f>IFERROR(INDEX($H$5:$H$104,MATCH(21,$N$5:$N$104,0)),"")</f>
        <v>Phantom 3</v>
      </c>
      <c r="C25" s="44" t="str">
        <f>IFERROR(INDEX($I$5:$I$104,MATCH(21,$N$5:$N$104,0)),"")</f>
        <v>Bosnia and Herzegovina</v>
      </c>
      <c r="D25" s="43">
        <f>IFERROR(INDEX($J$5:$J$104,MATCH(21,$N$5:$N$104,0)),"")</f>
        <v>2</v>
      </c>
      <c r="E25" s="43">
        <f>IFERROR(INDEX($K$5:$K$104,MATCH(21,$N$5:$N$104,0)),"")</f>
        <v>0</v>
      </c>
      <c r="F25" s="43">
        <f>IFERROR(INDEX($L$5:$L$104,MATCH(21,$N$5:$N$104,0)),"")</f>
        <v>1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13</v>
      </c>
    </row>
    <row r="26" spans="1:14" x14ac:dyDescent="0.25">
      <c r="A26" s="43">
        <v>22</v>
      </c>
      <c r="B26" s="44" t="str">
        <f>IFERROR(INDEX($H$5:$H$104,MATCH(22,$N$5:$N$104,0)),"")</f>
        <v>Phantom 4</v>
      </c>
      <c r="C26" s="44" t="str">
        <f>IFERROR(INDEX($I$5:$I$104,MATCH(22,$N$5:$N$104,0)),"")</f>
        <v>Cape Verde</v>
      </c>
      <c r="D26" s="43">
        <f>IFERROR(INDEX($J$5:$J$104,MATCH(22,$N$5:$N$104,0)),"")</f>
        <v>2</v>
      </c>
      <c r="E26" s="43">
        <f>IFERROR(INDEX($K$5:$K$104,MATCH(22,$N$5:$N$104,0)),"")</f>
        <v>0</v>
      </c>
      <c r="F26" s="43">
        <f>IFERROR(INDEX($L$5:$L$104,MATCH(22,$N$5:$N$104,0)),"")</f>
        <v>1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14</v>
      </c>
    </row>
    <row r="27" spans="1:14" x14ac:dyDescent="0.25">
      <c r="A27" s="43">
        <v>23</v>
      </c>
      <c r="B27" s="44" t="str">
        <f>IFERROR(INDEX($H$5:$H$104,MATCH(23,$N$5:$N$104,0)),"")</f>
        <v>Tanya Olive</v>
      </c>
      <c r="C27" s="44" t="str">
        <f>IFERROR(INDEX($I$5:$I$104,MATCH(23,$N$5:$N$104,0)),"")</f>
        <v>England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15</v>
      </c>
    </row>
    <row r="28" spans="1:14" x14ac:dyDescent="0.25">
      <c r="A28" s="43">
        <v>24</v>
      </c>
      <c r="B28" s="44" t="str">
        <f>IFERROR(INDEX($H$5:$H$104,MATCH(24,$N$5:$N$104,0)),"")</f>
        <v>Mitchell Wild</v>
      </c>
      <c r="C28" s="44" t="str">
        <f>IFERROR(INDEX($I$5:$I$104,MATCH(24,$N$5:$N$104,0)),"")</f>
        <v>Czechia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2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1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16</v>
      </c>
    </row>
    <row r="29" spans="1:14" x14ac:dyDescent="0.25">
      <c r="A29" s="43">
        <v>25</v>
      </c>
      <c r="B29" s="44" t="str">
        <f>IFERROR(INDEX($H$5:$H$104,MATCH(25,$N$5:$N$104,0)),"")</f>
        <v>Mark Keppie</v>
      </c>
      <c r="C29" s="44" t="str">
        <f>IFERROR(INDEX($I$5:$I$104,MATCH(25,$N$5:$N$104,0)),"")</f>
        <v>Panama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2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17</v>
      </c>
    </row>
    <row r="30" spans="1:14" x14ac:dyDescent="0.25">
      <c r="A30" s="43">
        <v>26</v>
      </c>
      <c r="B30" s="44" t="str">
        <f>IFERROR(INDEX($H$5:$H$104,MATCH(26,$N$5:$N$104,0)),"")</f>
        <v>Sarah Knowles</v>
      </c>
      <c r="C30" s="44" t="str">
        <f>IFERROR(INDEX($I$5:$I$104,MATCH(26,$N$5:$N$104,0)),"")</f>
        <v>Ecuador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6</v>
      </c>
    </row>
    <row r="31" spans="1:14" x14ac:dyDescent="0.25">
      <c r="A31" s="43">
        <v>27</v>
      </c>
      <c r="B31" s="44" t="str">
        <f>IFERROR(INDEX($H$5:$H$104,MATCH(27,$N$5:$N$104,0)),"")</f>
        <v>Mitchell Thompson</v>
      </c>
      <c r="C31" s="44" t="str">
        <f>IFERROR(INDEX($I$5:$I$104,MATCH(27,$N$5:$N$104,0)),"")</f>
        <v>Portugal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18</v>
      </c>
    </row>
    <row r="32" spans="1:14" x14ac:dyDescent="0.25">
      <c r="A32" s="43">
        <v>28</v>
      </c>
      <c r="B32" s="44" t="str">
        <f>IFERROR(INDEX($H$5:$H$104,MATCH(28,$N$5:$N$104,0)),"")</f>
        <v>Dionne Hunter</v>
      </c>
      <c r="C32" s="44" t="str">
        <f>IFERROR(INDEX($I$5:$I$104,MATCH(28,$N$5:$N$104,0)),"")</f>
        <v>Uzbekistan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34</v>
      </c>
    </row>
    <row r="33" spans="1:14" x14ac:dyDescent="0.25">
      <c r="A33" s="43">
        <v>29</v>
      </c>
      <c r="B33" s="44" t="str">
        <f>IFERROR(INDEX($H$5:$H$104,MATCH(29,$N$5:$N$104,0)),"")</f>
        <v>Michael Curran</v>
      </c>
      <c r="C33" s="44" t="str">
        <f>IFERROR(INDEX($I$5:$I$104,MATCH(29,$N$5:$N$104,0)),"")</f>
        <v>France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35</v>
      </c>
    </row>
    <row r="34" spans="1:14" x14ac:dyDescent="0.25">
      <c r="A34" s="43">
        <v>30</v>
      </c>
      <c r="B34" s="44" t="str">
        <f>IFERROR(INDEX($H$5:$H$104,MATCH(30,$N$5:$N$104,0)),"")</f>
        <v>Cyndie Bowen</v>
      </c>
      <c r="C34" s="44" t="str">
        <f>IFERROR(INDEX($I$5:$I$104,MATCH(30,$N$5:$N$104,0)),"")</f>
        <v>Tunisia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36</v>
      </c>
    </row>
    <row r="35" spans="1:14" x14ac:dyDescent="0.25">
      <c r="A35" s="43">
        <v>31</v>
      </c>
      <c r="B35" s="44" t="str">
        <f>IFERROR(INDEX($H$5:$H$104,MATCH(31,$N$5:$N$104,0)),"")</f>
        <v>Helen Pennock</v>
      </c>
      <c r="C35" s="44" t="str">
        <f>IFERROR(INDEX($I$5:$I$104,MATCH(31,$N$5:$N$104,0)),"")</f>
        <v>Algeria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37</v>
      </c>
    </row>
    <row r="36" spans="1:14" x14ac:dyDescent="0.25">
      <c r="A36" s="43">
        <v>32</v>
      </c>
      <c r="B36" s="44" t="str">
        <f>IFERROR(INDEX($H$5:$H$104,MATCH(32,$N$5:$N$104,0)),"")</f>
        <v>Brad McLaren</v>
      </c>
      <c r="C36" s="44" t="str">
        <f>IFERROR(INDEX($I$5:$I$104,MATCH(32,$N$5:$N$104,0)),"")</f>
        <v>Colombia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38</v>
      </c>
    </row>
    <row r="37" spans="1:14" x14ac:dyDescent="0.25">
      <c r="A37" s="43">
        <v>33</v>
      </c>
      <c r="B37" s="44" t="str">
        <f>IFERROR(INDEX($H$5:$H$104,MATCH(33,$N$5:$N$104,0)),"")</f>
        <v>Theo Panagopoulos</v>
      </c>
      <c r="C37" s="44" t="str">
        <f>IFERROR(INDEX($I$5:$I$104,MATCH(33,$N$5:$N$104,0)),"")</f>
        <v>Austria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39</v>
      </c>
    </row>
    <row r="38" spans="1:14" x14ac:dyDescent="0.25">
      <c r="A38" s="43">
        <v>34</v>
      </c>
      <c r="B38" s="44" t="str">
        <f>IFERROR(INDEX($H$5:$H$104,MATCH(34,$N$5:$N$104,0)),"")</f>
        <v>Tamara Evans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40</v>
      </c>
    </row>
    <row r="39" spans="1:14" x14ac:dyDescent="0.25">
      <c r="A39" s="43">
        <v>35</v>
      </c>
      <c r="B39" s="44" t="str">
        <f>IFERROR(INDEX($H$5:$H$104,MATCH(35,$N$5:$N$104,0)),"")</f>
        <v>Shane Shookry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19</v>
      </c>
    </row>
    <row r="40" spans="1:14" x14ac:dyDescent="0.25">
      <c r="A40" s="43">
        <v>36</v>
      </c>
      <c r="B40" s="44" t="str">
        <f>IFERROR(INDEX($H$5:$H$104,MATCH(36,$N$5:$N$104,0)),"")</f>
        <v>Jigar Vashi</v>
      </c>
      <c r="C40" s="44" t="str">
        <f>IFERROR(INDEX($I$5:$I$104,MATCH(36,$N$5:$N$104,0)),"")</f>
        <v>Senegal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41</v>
      </c>
    </row>
    <row r="41" spans="1:14" x14ac:dyDescent="0.25">
      <c r="A41" s="43">
        <v>37</v>
      </c>
      <c r="B41" s="44" t="str">
        <f>IFERROR(INDEX($H$5:$H$104,MATCH(37,$N$5:$N$104,0)),"")</f>
        <v>Theresa McDonough</v>
      </c>
      <c r="C41" s="44" t="str">
        <f>IFERROR(INDEX($I$5:$I$104,MATCH(37,$N$5:$N$104,0)),"")</f>
        <v>Iraq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42</v>
      </c>
    </row>
    <row r="42" spans="1:14" x14ac:dyDescent="0.25">
      <c r="A42" s="43">
        <v>38</v>
      </c>
      <c r="B42" s="44" t="str">
        <f>IFERROR(INDEX($H$5:$H$104,MATCH(38,$N$5:$N$104,0)),"")</f>
        <v>Joel Geysen</v>
      </c>
      <c r="C42" s="44" t="str">
        <f>IFERROR(INDEX($I$5:$I$104,MATCH(38,$N$5:$N$104,0)),"")</f>
        <v>Croatia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43</v>
      </c>
    </row>
    <row r="43" spans="1:14" x14ac:dyDescent="0.25">
      <c r="A43" s="43">
        <v>39</v>
      </c>
      <c r="B43" s="44" t="str">
        <f>IFERROR(INDEX($H$5:$H$104,MATCH(39,$N$5:$N$104,0)),"")</f>
        <v>Michael van Eldik</v>
      </c>
      <c r="C43" s="44" t="str">
        <f>IFERROR(INDEX($I$5:$I$104,MATCH(39,$N$5:$N$104,0)),"")</f>
        <v>Argentina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7</v>
      </c>
    </row>
    <row r="44" spans="1:14" x14ac:dyDescent="0.25">
      <c r="A44" s="43">
        <v>40</v>
      </c>
      <c r="B44" s="44" t="str">
        <f>IFERROR(INDEX($H$5:$H$104,MATCH(40,$N$5:$N$104,0)),"")</f>
        <v>Rodney Teggins</v>
      </c>
      <c r="C44" s="44" t="str">
        <f>IFERROR(INDEX($I$5:$I$104,MATCH(40,$N$5:$N$104,0)),"")</f>
        <v>Türkiye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8</v>
      </c>
    </row>
    <row r="45" spans="1:14" x14ac:dyDescent="0.25">
      <c r="A45" s="43">
        <v>41</v>
      </c>
      <c r="B45" s="44" t="str">
        <f>IFERROR(INDEX($H$5:$H$104,MATCH(41,$N$5:$N$104,0)),"")</f>
        <v>Reg Poonan</v>
      </c>
      <c r="C45" s="44" t="str">
        <f>IFERROR(INDEX($I$5:$I$104,MATCH(41,$N$5:$N$104,0)),"")</f>
        <v>Paraguay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2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1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20</v>
      </c>
    </row>
    <row r="46" spans="1:14" x14ac:dyDescent="0.25">
      <c r="A46" s="43">
        <v>42</v>
      </c>
      <c r="B46" s="44" t="str">
        <f>IFERROR(INDEX($H$5:$H$104,MATCH(42,$N$5:$N$104,0)),"")</f>
        <v>Andrew Kagis</v>
      </c>
      <c r="C46" s="44" t="str">
        <f>IFERROR(INDEX($I$5:$I$104,MATCH(42,$N$5:$N$104,0)),"")</f>
        <v>Iran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44</v>
      </c>
    </row>
    <row r="47" spans="1:14" x14ac:dyDescent="0.25">
      <c r="A47" s="43">
        <v>43</v>
      </c>
      <c r="B47" s="44" t="str">
        <f>IFERROR(INDEX($H$5:$H$104,MATCH(43,$N$5:$N$104,0)),"")</f>
        <v>Suhail Janardhanan</v>
      </c>
      <c r="C47" s="44" t="str">
        <f>IFERROR(INDEX($I$5:$I$104,MATCH(43,$N$5:$N$104,0)),"")</f>
        <v>DR Congo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21</v>
      </c>
    </row>
    <row r="48" spans="1:14" x14ac:dyDescent="0.25">
      <c r="A48" s="43">
        <v>44</v>
      </c>
      <c r="B48" s="44" t="str">
        <f>IFERROR(INDEX($H$5:$H$104,MATCH(44,$N$5:$N$104,0)),"")</f>
        <v>Phantom 2</v>
      </c>
      <c r="C48" s="44" t="str">
        <f>IFERROR(INDEX($I$5:$I$104,MATCH(44,$N$5:$N$104,0)),"")</f>
        <v>Jordan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22</v>
      </c>
    </row>
    <row r="49" spans="1:14" x14ac:dyDescent="0.25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36" workbookViewId="0">
      <selection activeCell="C47" sqref="C47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4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5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Y. Ayari</v>
      </c>
      <c r="H8" s="51" t="str">
        <f>IFERROR(INDEX($Q$6:$Q$305,MATCH(3,$S$6:$S$305,0)),"")</f>
        <v>Sweden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6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Julián Quiñones</v>
      </c>
      <c r="H9" s="44" t="str">
        <f>IFERROR(INDEX($Q$6:$Q$305,MATCH(4,$S$6:$S$305,0)),"")</f>
        <v>Mexico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7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Raúl Jiménez</v>
      </c>
      <c r="H10" s="44" t="str">
        <f>IFERROR(INDEX($Q$6:$Q$305,MATCH(5,$S$6:$S$305,0)),"")</f>
        <v>Mexico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8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Oh Hyeon-Gyu</v>
      </c>
      <c r="H11" s="44" t="str">
        <f>IFERROR(INDEX($Q$6:$Q$305,MATCH(6,$S$6:$S$305,0)),"")</f>
        <v>South Korea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9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Hwang In-Beom</v>
      </c>
      <c r="H12" s="44" t="str">
        <f>IFERROR(INDEX($Q$6:$Q$305,MATCH(7,$S$6:$S$305,0)),"")</f>
        <v>South Korea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10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L. Krejčí</v>
      </c>
      <c r="H13" s="44" t="str">
        <f>IFERROR(INDEX($Q$6:$Q$305,MATCH(8,$S$6:$S$305,0)),"")</f>
        <v>Czechia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37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C Larin</v>
      </c>
      <c r="H14" s="44" t="str">
        <f>IFERROR(INDEX($Q$6:$Q$305,MATCH(9,$S$6:$S$305,0)),"")</f>
        <v>Canada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J Lukic</v>
      </c>
      <c r="H15" s="44" t="str">
        <f>IFERROR(INDEX($Q$6:$Q$305,MATCH(10,$S$6:$S$305,0)),"")</f>
        <v>Bosnia and Herzegovina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11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G Reyna</v>
      </c>
      <c r="H16" s="44" t="str">
        <f>IFERROR(INDEX($Q$6:$Q$305,MATCH(11,$S$6:$S$305,0)),"")</f>
        <v>United States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12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Mauricio</v>
      </c>
      <c r="H17" s="44" t="str">
        <f>IFERROR(INDEX($Q$6:$Q$305,MATCH(12,$S$6:$S$305,0)),"")</f>
        <v>Paraguay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13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J McGinn</v>
      </c>
      <c r="H18" s="44" t="str">
        <f>IFERROR(INDEX($Q$6:$Q$305,MATCH(13,$S$6:$S$305,0)),"")</f>
        <v>Scotland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14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N Irankunda</v>
      </c>
      <c r="H19" s="44" t="str">
        <f>IFERROR(INDEX($Q$6:$Q$305,MATCH(14,$S$6:$S$305,0)),"")</f>
        <v>Australia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15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 Metcalfe</v>
      </c>
      <c r="H20" s="44" t="str">
        <f>IFERROR(INDEX($Q$6:$Q$305,MATCH(15,$S$6:$S$305,0)),"")</f>
        <v>Australia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16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Vinícius Júnior</v>
      </c>
      <c r="H21" s="44" t="str">
        <f>IFERROR(INDEX($Q$6:$Q$305,MATCH(16,$S$6:$S$305,0)),"")</f>
        <v>Brazil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17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Ismael Saibari </v>
      </c>
      <c r="H22" s="44" t="str">
        <f>IFERROR(INDEX($Q$6:$Q$305,MATCH(17,$S$6:$S$305,0)),"")</f>
        <v>Morocco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38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Breel Embolo</v>
      </c>
      <c r="H23" s="44" t="str">
        <f>IFERROR(INDEX($Q$6:$Q$305,MATCH(18,$S$6:$S$305,0)),"")</f>
        <v>Switzerland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18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Felix Nmecha</v>
      </c>
      <c r="H24" s="44" t="str">
        <f>IFERROR(INDEX($Q$6:$Q$305,MATCH(19,$S$6:$S$305,0)),"")</f>
        <v>Germany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19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Nico Schlotterbeck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20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Jamal Musiala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Nathaniel Brown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21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Deniz Undav</v>
      </c>
      <c r="H28" s="44" t="str">
        <f>IFERROR(INDEX($Q$6:$Q$305,MATCH(23,$S$6:$S$305,0)),"")</f>
        <v>Germany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22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Livano Comenencia</v>
      </c>
      <c r="H29" s="44" t="str">
        <f>IFERROR(INDEX($Q$6:$Q$305,MATCH(24,$S$6:$S$305,0)),"")</f>
        <v>Curaçao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23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V van Dijk</v>
      </c>
      <c r="H30" s="44" t="str">
        <f>IFERROR(INDEX($Q$6:$Q$305,MATCH(25,$S$6:$S$305,0)),"")</f>
        <v>Netherlands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24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C Summerville</v>
      </c>
      <c r="H31" s="44" t="str">
        <f>IFERROR(INDEX($Q$6:$Q$305,MATCH(26,$S$6:$S$305,0)),"")</f>
        <v>Netherlands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25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K Nakamura</v>
      </c>
      <c r="H32" s="44" t="str">
        <f>IFERROR(INDEX($Q$6:$Q$305,MATCH(27,$S$6:$S$305,0)),"")</f>
        <v>Japan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26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 Kamada</v>
      </c>
      <c r="H33" s="44" t="str">
        <f>IFERROR(INDEX($Q$6:$Q$305,MATCH(28,$S$6:$S$305,0)),"")</f>
        <v>Japan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27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A. Diallo</v>
      </c>
      <c r="H34" s="44" t="str">
        <f>IFERROR(INDEX($Q$6:$Q$305,MATCH(29,$S$6:$S$305,0)),"")</f>
        <v>Ivory Coast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28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>
        <v>9</v>
      </c>
      <c r="B35" s="56" t="s">
        <v>393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V. Gyökeres</v>
      </c>
      <c r="H35" s="44" t="str">
        <f>IFERROR(INDEX($Q$6:$Q$305,MATCH(30,$S$6:$S$305,0)),"")</f>
        <v>Sweden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29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>
        <v>12</v>
      </c>
      <c r="B36" s="56" t="s">
        <v>394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A. Isak</v>
      </c>
      <c r="H36" s="44" t="str">
        <f>IFERROR(INDEX($Q$6:$Q$305,MATCH(31,$S$6:$S$305,0)),"")</f>
        <v>Sweden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3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>
        <v>12</v>
      </c>
      <c r="B37" s="56" t="s">
        <v>395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M. Svanberg</v>
      </c>
      <c r="H37" s="44" t="str">
        <f>IFERROR(INDEX($Q$6:$Q$305,MATCH(32,$S$6:$S$305,0)),"")</f>
        <v>Sweden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30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>
        <v>12</v>
      </c>
      <c r="B38" s="56" t="s">
        <v>396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O. Rekik</v>
      </c>
      <c r="H38" s="44" t="str">
        <f>IFERROR(INDEX($Q$6:$Q$305,MATCH(33,$S$6:$S$305,0)),"")</f>
        <v>Tunisia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31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>
        <v>12</v>
      </c>
      <c r="B39" s="56" t="s">
        <v>394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Emam Ashour</v>
      </c>
      <c r="H39" s="44" t="str">
        <f>IFERROR(INDEX($Q$6:$Q$305,MATCH(34,$S$6:$S$305,0)),"")</f>
        <v>Egypt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>
        <v>12</v>
      </c>
      <c r="B40" s="56" t="s">
        <v>397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M. Araújo</v>
      </c>
      <c r="H40" s="44" t="str">
        <f>IFERROR(INDEX($Q$6:$Q$305,MATCH(F40,$S$6:$S$305,0)),"")</f>
        <v>Uruguay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32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>
        <v>12</v>
      </c>
      <c r="B41" s="56" t="s">
        <v>398</v>
      </c>
      <c r="C41" s="56" t="s">
        <v>109</v>
      </c>
      <c r="D41" s="43">
        <v>1</v>
      </c>
      <c r="F41" s="61">
        <v>36</v>
      </c>
      <c r="G41" s="44" t="str">
        <f t="shared" si="4"/>
        <v>Abdulelah Al Amri</v>
      </c>
      <c r="H41" s="44" t="str">
        <f t="shared" ref="H41:H42" si="5">IFERROR(INDEX($Q$6:$Q$305,MATCH(F41,$S$6:$S$305,0)),"")</f>
        <v>Saudi Arabia</v>
      </c>
      <c r="I41" s="43">
        <f t="shared" ref="I41:I42" si="6">IFERROR(INDEX($R$6:$R$305,MATCH(F41,$S$6:$S$305,0)),"")</f>
        <v>1</v>
      </c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33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>
        <v>16</v>
      </c>
      <c r="B42" s="56" t="s">
        <v>399</v>
      </c>
      <c r="C42" s="56" t="s">
        <v>110</v>
      </c>
      <c r="D42" s="43">
        <v>0</v>
      </c>
      <c r="F42" s="61">
        <v>37</v>
      </c>
      <c r="G42" s="44" t="str">
        <f t="shared" si="4"/>
        <v>D Bobadilla OG</v>
      </c>
      <c r="H42" s="44" t="str">
        <f t="shared" si="5"/>
        <v>United States</v>
      </c>
      <c r="I42" s="43">
        <f t="shared" si="6"/>
        <v>0</v>
      </c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39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>
        <v>16</v>
      </c>
      <c r="B43" s="56" t="s">
        <v>400</v>
      </c>
      <c r="C43" s="56" t="s">
        <v>112</v>
      </c>
      <c r="D43" s="43">
        <v>1</v>
      </c>
      <c r="F43" s="61">
        <v>38</v>
      </c>
      <c r="G43" s="44" t="str">
        <f t="shared" si="4"/>
        <v>Miro Muheim OG</v>
      </c>
      <c r="H43" s="44" t="str">
        <f t="shared" ref="H43:H44" si="7">IFERROR(INDEX($Q$6:$Q$305,MATCH(F43,$S$6:$S$305,0)),"")</f>
        <v>Qatar</v>
      </c>
      <c r="I43" s="43">
        <f t="shared" ref="I43:I44" si="8">IFERROR(INDEX($R$6:$R$305,MATCH(F43,$S$6:$S$305,0)),"")</f>
        <v>0</v>
      </c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34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>
        <v>15</v>
      </c>
      <c r="B44" s="56" t="s">
        <v>401</v>
      </c>
      <c r="C44" s="56" t="s">
        <v>119</v>
      </c>
      <c r="D44" s="43">
        <v>1</v>
      </c>
      <c r="F44" s="61">
        <v>39</v>
      </c>
      <c r="G44" s="44" t="str">
        <f t="shared" si="4"/>
        <v>Mohamed Hanny (OG)</v>
      </c>
      <c r="H44" s="44" t="str">
        <f t="shared" si="7"/>
        <v>Belgium</v>
      </c>
      <c r="I44" s="43">
        <f t="shared" si="8"/>
        <v>0</v>
      </c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1</v>
      </c>
      <c r="S44">
        <f>IF(P44="","",COUNTIFS($R$6:$R$305,"&gt;"&amp;R44,$P$6:$P$305,"&lt;&gt;")+COUNTIFS($R$6:$R44,"="&amp;R44,$P$6:$P44,"&lt;&gt;"))</f>
        <v>35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>
        <v>15</v>
      </c>
      <c r="B45" s="56" t="s">
        <v>402</v>
      </c>
      <c r="C45" s="56" t="s">
        <v>118</v>
      </c>
      <c r="D45" s="43">
        <v>1</v>
      </c>
      <c r="F45" s="61">
        <v>40</v>
      </c>
      <c r="G45" s="44" t="str">
        <f t="shared" si="4"/>
        <v/>
      </c>
      <c r="H45" s="44" t="str">
        <f t="shared" ref="H45:H108" si="9">IFERROR(INDEX($Q$6:$Q$305,MATCH(F45,$S$6:$S$305,0)),"")</f>
        <v/>
      </c>
      <c r="I45" s="43" t="str">
        <f t="shared" ref="I45:I108" si="10">IFERROR(INDEX($R$6:$R$305,MATCH(F45,$S$6:$S$305,0)),"")</f>
        <v/>
      </c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36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F46" s="61">
        <v>41</v>
      </c>
      <c r="G46" s="44" t="str">
        <f t="shared" si="4"/>
        <v/>
      </c>
      <c r="H46" s="44" t="str">
        <f t="shared" si="9"/>
        <v/>
      </c>
      <c r="I46" s="43" t="str">
        <f t="shared" si="10"/>
        <v/>
      </c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F47" s="61">
        <v>42</v>
      </c>
      <c r="G47" s="44" t="str">
        <f t="shared" si="4"/>
        <v/>
      </c>
      <c r="H47" s="44" t="str">
        <f t="shared" si="9"/>
        <v/>
      </c>
      <c r="I47" s="43" t="str">
        <f t="shared" si="10"/>
        <v/>
      </c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F48" s="61">
        <v>43</v>
      </c>
      <c r="G48" s="44" t="str">
        <f t="shared" si="4"/>
        <v/>
      </c>
      <c r="H48" s="44" t="str">
        <f t="shared" si="9"/>
        <v/>
      </c>
      <c r="I48" s="43" t="str">
        <f t="shared" si="10"/>
        <v/>
      </c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F49" s="61">
        <v>44</v>
      </c>
      <c r="G49" s="44" t="str">
        <f t="shared" si="4"/>
        <v/>
      </c>
      <c r="H49" s="44" t="str">
        <f t="shared" si="9"/>
        <v/>
      </c>
      <c r="I49" s="43" t="str">
        <f t="shared" si="10"/>
        <v/>
      </c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F50" s="61">
        <v>45</v>
      </c>
      <c r="G50" s="44" t="str">
        <f t="shared" si="4"/>
        <v/>
      </c>
      <c r="H50" s="44" t="str">
        <f t="shared" si="9"/>
        <v/>
      </c>
      <c r="I50" s="43" t="str">
        <f t="shared" si="10"/>
        <v/>
      </c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F51" s="61">
        <v>46</v>
      </c>
      <c r="G51" s="44" t="str">
        <f t="shared" si="4"/>
        <v/>
      </c>
      <c r="H51" s="44" t="str">
        <f t="shared" si="9"/>
        <v/>
      </c>
      <c r="I51" s="43" t="str">
        <f t="shared" si="10"/>
        <v/>
      </c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F52" s="61">
        <v>47</v>
      </c>
      <c r="G52" s="44" t="str">
        <f t="shared" si="4"/>
        <v/>
      </c>
      <c r="H52" s="44" t="str">
        <f t="shared" si="9"/>
        <v/>
      </c>
      <c r="I52" s="43" t="str">
        <f t="shared" si="10"/>
        <v/>
      </c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F53" s="61">
        <v>48</v>
      </c>
      <c r="G53" s="44" t="str">
        <f t="shared" si="4"/>
        <v/>
      </c>
      <c r="H53" s="44" t="str">
        <f t="shared" si="9"/>
        <v/>
      </c>
      <c r="I53" s="43" t="str">
        <f t="shared" si="10"/>
        <v/>
      </c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F54" s="61">
        <v>49</v>
      </c>
      <c r="G54" s="44" t="str">
        <f t="shared" si="4"/>
        <v/>
      </c>
      <c r="H54" s="44" t="str">
        <f t="shared" si="9"/>
        <v/>
      </c>
      <c r="I54" s="43" t="str">
        <f t="shared" si="10"/>
        <v/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F55" s="61">
        <v>50</v>
      </c>
      <c r="G55" s="44" t="str">
        <f t="shared" si="4"/>
        <v/>
      </c>
      <c r="H55" s="44" t="str">
        <f t="shared" si="9"/>
        <v/>
      </c>
      <c r="I55" s="43" t="str">
        <f t="shared" si="10"/>
        <v/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F56" s="61">
        <v>51</v>
      </c>
      <c r="G56" s="44" t="str">
        <f t="shared" si="4"/>
        <v/>
      </c>
      <c r="H56" s="44" t="str">
        <f t="shared" si="9"/>
        <v/>
      </c>
      <c r="I56" s="43" t="str">
        <f t="shared" si="10"/>
        <v/>
      </c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F57" s="61">
        <v>52</v>
      </c>
      <c r="G57" s="44" t="str">
        <f t="shared" si="4"/>
        <v/>
      </c>
      <c r="H57" s="44" t="str">
        <f t="shared" si="9"/>
        <v/>
      </c>
      <c r="I57" s="43" t="str">
        <f t="shared" si="10"/>
        <v/>
      </c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F58" s="61">
        <v>53</v>
      </c>
      <c r="G58" s="44" t="str">
        <f t="shared" si="4"/>
        <v/>
      </c>
      <c r="H58" s="44" t="str">
        <f t="shared" si="9"/>
        <v/>
      </c>
      <c r="I58" s="43" t="str">
        <f t="shared" si="10"/>
        <v/>
      </c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F59" s="61">
        <v>54</v>
      </c>
      <c r="G59" s="44" t="str">
        <f t="shared" si="4"/>
        <v/>
      </c>
      <c r="H59" s="44" t="str">
        <f t="shared" si="9"/>
        <v/>
      </c>
      <c r="I59" s="43" t="str">
        <f t="shared" si="10"/>
        <v/>
      </c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F60" s="61">
        <v>55</v>
      </c>
      <c r="G60" s="44" t="str">
        <f t="shared" si="4"/>
        <v/>
      </c>
      <c r="H60" s="44" t="str">
        <f t="shared" si="9"/>
        <v/>
      </c>
      <c r="I60" s="43" t="str">
        <f t="shared" si="10"/>
        <v/>
      </c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F61" s="61">
        <v>56</v>
      </c>
      <c r="G61" s="44" t="str">
        <f t="shared" si="4"/>
        <v/>
      </c>
      <c r="H61" s="44" t="str">
        <f t="shared" si="9"/>
        <v/>
      </c>
      <c r="I61" s="43" t="str">
        <f t="shared" si="10"/>
        <v/>
      </c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F62" s="61">
        <v>57</v>
      </c>
      <c r="G62" s="44" t="str">
        <f t="shared" si="4"/>
        <v/>
      </c>
      <c r="H62" s="44" t="str">
        <f t="shared" si="9"/>
        <v/>
      </c>
      <c r="I62" s="43" t="str">
        <f t="shared" si="10"/>
        <v/>
      </c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F63" s="61">
        <v>58</v>
      </c>
      <c r="G63" s="44" t="str">
        <f t="shared" si="4"/>
        <v/>
      </c>
      <c r="H63" s="44" t="str">
        <f t="shared" si="9"/>
        <v/>
      </c>
      <c r="I63" s="43" t="str">
        <f t="shared" si="10"/>
        <v/>
      </c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F64" s="61">
        <v>59</v>
      </c>
      <c r="G64" s="44" t="str">
        <f t="shared" si="4"/>
        <v/>
      </c>
      <c r="H64" s="44" t="str">
        <f t="shared" si="9"/>
        <v/>
      </c>
      <c r="I64" s="43" t="str">
        <f t="shared" si="10"/>
        <v/>
      </c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F65" s="61">
        <v>60</v>
      </c>
      <c r="G65" s="44" t="str">
        <f t="shared" si="4"/>
        <v/>
      </c>
      <c r="H65" s="44" t="str">
        <f t="shared" si="9"/>
        <v/>
      </c>
      <c r="I65" s="43" t="str">
        <f t="shared" si="10"/>
        <v/>
      </c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F66" s="61">
        <v>61</v>
      </c>
      <c r="G66" s="44" t="str">
        <f t="shared" si="4"/>
        <v/>
      </c>
      <c r="H66" s="44" t="str">
        <f t="shared" si="9"/>
        <v/>
      </c>
      <c r="I66" s="43" t="str">
        <f t="shared" si="10"/>
        <v/>
      </c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F67" s="61">
        <v>62</v>
      </c>
      <c r="G67" s="44" t="str">
        <f t="shared" si="4"/>
        <v/>
      </c>
      <c r="H67" s="44" t="str">
        <f t="shared" si="9"/>
        <v/>
      </c>
      <c r="I67" s="43" t="str">
        <f t="shared" si="10"/>
        <v/>
      </c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F68" s="61">
        <v>63</v>
      </c>
      <c r="G68" s="44" t="str">
        <f t="shared" si="4"/>
        <v/>
      </c>
      <c r="H68" s="44" t="str">
        <f t="shared" si="9"/>
        <v/>
      </c>
      <c r="I68" s="43" t="str">
        <f t="shared" si="10"/>
        <v/>
      </c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F69" s="61">
        <v>64</v>
      </c>
      <c r="G69" s="44" t="str">
        <f t="shared" si="4"/>
        <v/>
      </c>
      <c r="H69" s="44" t="str">
        <f t="shared" si="9"/>
        <v/>
      </c>
      <c r="I69" s="43" t="str">
        <f t="shared" si="10"/>
        <v/>
      </c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F70" s="61">
        <v>65</v>
      </c>
      <c r="G70" s="44" t="str">
        <f t="shared" si="4"/>
        <v/>
      </c>
      <c r="H70" s="44" t="str">
        <f t="shared" si="9"/>
        <v/>
      </c>
      <c r="I70" s="43" t="str">
        <f t="shared" si="10"/>
        <v/>
      </c>
      <c r="P70" t="str">
        <f>IF(OR(B70="",COUNTIF($B$6:$B70,B70)&gt;1),"",B70)</f>
        <v/>
      </c>
      <c r="Q70" t="str">
        <f t="shared" ref="Q70:Q133" si="11">IF(P70="","",C70)</f>
        <v/>
      </c>
      <c r="R70" t="str">
        <f t="shared" ref="R70:R133" si="12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F71" s="61">
        <v>66</v>
      </c>
      <c r="G71" s="44" t="str">
        <f t="shared" si="4"/>
        <v/>
      </c>
      <c r="H71" s="44" t="str">
        <f t="shared" si="9"/>
        <v/>
      </c>
      <c r="I71" s="43" t="str">
        <f t="shared" si="10"/>
        <v/>
      </c>
      <c r="P71" t="str">
        <f>IF(OR(B71="",COUNTIF($B$6:$B71,B71)&gt;1),"",B71)</f>
        <v/>
      </c>
      <c r="Q71" t="str">
        <f t="shared" si="11"/>
        <v/>
      </c>
      <c r="R71" t="str">
        <f t="shared" si="12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F72" s="61">
        <v>67</v>
      </c>
      <c r="G72" s="44" t="str">
        <f t="shared" si="4"/>
        <v/>
      </c>
      <c r="H72" s="44" t="str">
        <f t="shared" si="9"/>
        <v/>
      </c>
      <c r="I72" s="43" t="str">
        <f t="shared" si="10"/>
        <v/>
      </c>
      <c r="P72" t="str">
        <f>IF(OR(B72="",COUNTIF($B$6:$B72,B72)&gt;1),"",B72)</f>
        <v/>
      </c>
      <c r="Q72" t="str">
        <f t="shared" si="11"/>
        <v/>
      </c>
      <c r="R72" t="str">
        <f t="shared" si="12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F73" s="61">
        <v>68</v>
      </c>
      <c r="G73" s="44" t="str">
        <f t="shared" si="4"/>
        <v/>
      </c>
      <c r="H73" s="44" t="str">
        <f t="shared" si="9"/>
        <v/>
      </c>
      <c r="I73" s="43" t="str">
        <f t="shared" si="10"/>
        <v/>
      </c>
      <c r="P73" t="str">
        <f>IF(OR(B73="",COUNTIF($B$6:$B73,B73)&gt;1),"",B73)</f>
        <v/>
      </c>
      <c r="Q73" t="str">
        <f t="shared" si="11"/>
        <v/>
      </c>
      <c r="R73" t="str">
        <f t="shared" si="12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F74" s="61">
        <v>69</v>
      </c>
      <c r="G74" s="44" t="str">
        <f t="shared" si="4"/>
        <v/>
      </c>
      <c r="H74" s="44" t="str">
        <f t="shared" si="9"/>
        <v/>
      </c>
      <c r="I74" s="43" t="str">
        <f t="shared" si="10"/>
        <v/>
      </c>
      <c r="P74" t="str">
        <f>IF(OR(B74="",COUNTIF($B$6:$B74,B74)&gt;1),"",B74)</f>
        <v/>
      </c>
      <c r="Q74" t="str">
        <f t="shared" si="11"/>
        <v/>
      </c>
      <c r="R74" t="str">
        <f t="shared" si="12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F75" s="61">
        <v>70</v>
      </c>
      <c r="G75" s="44" t="str">
        <f t="shared" si="4"/>
        <v/>
      </c>
      <c r="H75" s="44" t="str">
        <f t="shared" si="9"/>
        <v/>
      </c>
      <c r="I75" s="43" t="str">
        <f t="shared" si="10"/>
        <v/>
      </c>
      <c r="P75" t="str">
        <f>IF(OR(B75="",COUNTIF($B$6:$B75,B75)&gt;1),"",B75)</f>
        <v/>
      </c>
      <c r="Q75" t="str">
        <f t="shared" si="11"/>
        <v/>
      </c>
      <c r="R75" t="str">
        <f t="shared" si="12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F76" s="61">
        <v>71</v>
      </c>
      <c r="G76" s="44" t="str">
        <f t="shared" si="4"/>
        <v/>
      </c>
      <c r="H76" s="44" t="str">
        <f t="shared" si="9"/>
        <v/>
      </c>
      <c r="I76" s="43" t="str">
        <f t="shared" si="10"/>
        <v/>
      </c>
      <c r="P76" t="str">
        <f>IF(OR(B76="",COUNTIF($B$6:$B76,B76)&gt;1),"",B76)</f>
        <v/>
      </c>
      <c r="Q76" t="str">
        <f t="shared" si="11"/>
        <v/>
      </c>
      <c r="R76" t="str">
        <f t="shared" si="12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F77" s="61">
        <v>72</v>
      </c>
      <c r="G77" s="44" t="str">
        <f t="shared" si="4"/>
        <v/>
      </c>
      <c r="H77" s="44" t="str">
        <f t="shared" si="9"/>
        <v/>
      </c>
      <c r="I77" s="43" t="str">
        <f t="shared" si="10"/>
        <v/>
      </c>
      <c r="P77" t="str">
        <f>IF(OR(B77="",COUNTIF($B$6:$B77,B77)&gt;1),"",B77)</f>
        <v/>
      </c>
      <c r="Q77" t="str">
        <f t="shared" si="11"/>
        <v/>
      </c>
      <c r="R77" t="str">
        <f t="shared" si="12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F78" s="61">
        <v>73</v>
      </c>
      <c r="G78" s="44" t="str">
        <f t="shared" si="4"/>
        <v/>
      </c>
      <c r="H78" s="44" t="str">
        <f t="shared" si="9"/>
        <v/>
      </c>
      <c r="I78" s="43" t="str">
        <f t="shared" si="10"/>
        <v/>
      </c>
      <c r="P78" t="str">
        <f>IF(OR(B78="",COUNTIF($B$6:$B78,B78)&gt;1),"",B78)</f>
        <v/>
      </c>
      <c r="Q78" t="str">
        <f t="shared" si="11"/>
        <v/>
      </c>
      <c r="R78" t="str">
        <f t="shared" si="12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F79" s="61">
        <v>74</v>
      </c>
      <c r="G79" s="44" t="str">
        <f t="shared" si="4"/>
        <v/>
      </c>
      <c r="H79" s="44" t="str">
        <f t="shared" si="9"/>
        <v/>
      </c>
      <c r="I79" s="43" t="str">
        <f t="shared" si="10"/>
        <v/>
      </c>
      <c r="P79" t="str">
        <f>IF(OR(B79="",COUNTIF($B$6:$B79,B79)&gt;1),"",B79)</f>
        <v/>
      </c>
      <c r="Q79" t="str">
        <f t="shared" si="11"/>
        <v/>
      </c>
      <c r="R79" t="str">
        <f t="shared" si="12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F80" s="61">
        <v>75</v>
      </c>
      <c r="G80" s="44" t="str">
        <f t="shared" si="4"/>
        <v/>
      </c>
      <c r="H80" s="44" t="str">
        <f t="shared" si="9"/>
        <v/>
      </c>
      <c r="I80" s="43" t="str">
        <f t="shared" si="10"/>
        <v/>
      </c>
      <c r="P80" t="str">
        <f>IF(OR(B80="",COUNTIF($B$6:$B80,B80)&gt;1),"",B80)</f>
        <v/>
      </c>
      <c r="Q80" t="str">
        <f t="shared" si="11"/>
        <v/>
      </c>
      <c r="R80" t="str">
        <f t="shared" si="12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F81" s="61">
        <v>76</v>
      </c>
      <c r="G81" s="44" t="str">
        <f t="shared" si="4"/>
        <v/>
      </c>
      <c r="H81" s="44" t="str">
        <f t="shared" si="9"/>
        <v/>
      </c>
      <c r="I81" s="43" t="str">
        <f t="shared" si="10"/>
        <v/>
      </c>
      <c r="P81" t="str">
        <f>IF(OR(B81="",COUNTIF($B$6:$B81,B81)&gt;1),"",B81)</f>
        <v/>
      </c>
      <c r="Q81" t="str">
        <f t="shared" si="11"/>
        <v/>
      </c>
      <c r="R81" t="str">
        <f t="shared" si="12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F82" s="61">
        <v>77</v>
      </c>
      <c r="G82" s="44" t="str">
        <f t="shared" si="4"/>
        <v/>
      </c>
      <c r="H82" s="44" t="str">
        <f t="shared" si="9"/>
        <v/>
      </c>
      <c r="I82" s="43" t="str">
        <f t="shared" si="10"/>
        <v/>
      </c>
      <c r="P82" t="str">
        <f>IF(OR(B82="",COUNTIF($B$6:$B82,B82)&gt;1),"",B82)</f>
        <v/>
      </c>
      <c r="Q82" t="str">
        <f t="shared" si="11"/>
        <v/>
      </c>
      <c r="R82" t="str">
        <f t="shared" si="12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F83" s="61">
        <v>78</v>
      </c>
      <c r="G83" s="44" t="str">
        <f t="shared" si="4"/>
        <v/>
      </c>
      <c r="H83" s="44" t="str">
        <f t="shared" si="9"/>
        <v/>
      </c>
      <c r="I83" s="43" t="str">
        <f t="shared" si="10"/>
        <v/>
      </c>
      <c r="P83" t="str">
        <f>IF(OR(B83="",COUNTIF($B$6:$B83,B83)&gt;1),"",B83)</f>
        <v/>
      </c>
      <c r="Q83" t="str">
        <f t="shared" si="11"/>
        <v/>
      </c>
      <c r="R83" t="str">
        <f t="shared" si="12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F84" s="61">
        <v>79</v>
      </c>
      <c r="G84" s="44" t="str">
        <f t="shared" si="4"/>
        <v/>
      </c>
      <c r="H84" s="44" t="str">
        <f t="shared" si="9"/>
        <v/>
      </c>
      <c r="I84" s="43" t="str">
        <f t="shared" si="10"/>
        <v/>
      </c>
      <c r="P84" t="str">
        <f>IF(OR(B84="",COUNTIF($B$6:$B84,B84)&gt;1),"",B84)</f>
        <v/>
      </c>
      <c r="Q84" t="str">
        <f t="shared" si="11"/>
        <v/>
      </c>
      <c r="R84" t="str">
        <f t="shared" si="12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F85" s="61">
        <v>80</v>
      </c>
      <c r="G85" s="44" t="str">
        <f t="shared" si="4"/>
        <v/>
      </c>
      <c r="H85" s="44" t="str">
        <f t="shared" si="9"/>
        <v/>
      </c>
      <c r="I85" s="43" t="str">
        <f t="shared" si="10"/>
        <v/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F86" s="61">
        <v>81</v>
      </c>
      <c r="G86" s="44" t="str">
        <f t="shared" si="4"/>
        <v/>
      </c>
      <c r="H86" s="44" t="str">
        <f t="shared" si="9"/>
        <v/>
      </c>
      <c r="I86" s="43" t="str">
        <f t="shared" si="10"/>
        <v/>
      </c>
      <c r="P86" t="str">
        <f>IF(OR(B86="",COUNTIF($B$6:$B86,B86)&gt;1),"",B86)</f>
        <v/>
      </c>
      <c r="Q86" t="str">
        <f t="shared" si="11"/>
        <v/>
      </c>
      <c r="R86" t="str">
        <f t="shared" si="12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F87" s="61">
        <v>82</v>
      </c>
      <c r="G87" s="44" t="str">
        <f t="shared" si="4"/>
        <v/>
      </c>
      <c r="H87" s="44" t="str">
        <f t="shared" si="9"/>
        <v/>
      </c>
      <c r="I87" s="43" t="str">
        <f t="shared" si="10"/>
        <v/>
      </c>
      <c r="P87" t="str">
        <f>IF(OR(B87="",COUNTIF($B$6:$B87,B87)&gt;1),"",B87)</f>
        <v/>
      </c>
      <c r="Q87" t="str">
        <f t="shared" si="11"/>
        <v/>
      </c>
      <c r="R87" t="str">
        <f t="shared" si="12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F88" s="61">
        <v>83</v>
      </c>
      <c r="G88" s="44" t="str">
        <f t="shared" si="4"/>
        <v/>
      </c>
      <c r="H88" s="44" t="str">
        <f t="shared" si="9"/>
        <v/>
      </c>
      <c r="I88" s="43" t="str">
        <f t="shared" si="10"/>
        <v/>
      </c>
      <c r="P88" t="str">
        <f>IF(OR(B88="",COUNTIF($B$6:$B88,B88)&gt;1),"",B88)</f>
        <v/>
      </c>
      <c r="Q88" t="str">
        <f t="shared" si="11"/>
        <v/>
      </c>
      <c r="R88" t="str">
        <f t="shared" si="12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F89" s="61">
        <v>84</v>
      </c>
      <c r="G89" s="44" t="str">
        <f t="shared" si="4"/>
        <v/>
      </c>
      <c r="H89" s="44" t="str">
        <f t="shared" si="9"/>
        <v/>
      </c>
      <c r="I89" s="43" t="str">
        <f t="shared" si="10"/>
        <v/>
      </c>
      <c r="P89" t="str">
        <f>IF(OR(B89="",COUNTIF($B$6:$B89,B89)&gt;1),"",B89)</f>
        <v/>
      </c>
      <c r="Q89" t="str">
        <f t="shared" si="11"/>
        <v/>
      </c>
      <c r="R89" t="str">
        <f t="shared" si="12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F90" s="61">
        <v>85</v>
      </c>
      <c r="G90" s="44" t="str">
        <f t="shared" si="4"/>
        <v/>
      </c>
      <c r="H90" s="44" t="str">
        <f t="shared" si="9"/>
        <v/>
      </c>
      <c r="I90" s="43" t="str">
        <f t="shared" si="10"/>
        <v/>
      </c>
      <c r="P90" t="str">
        <f>IF(OR(B90="",COUNTIF($B$6:$B90,B90)&gt;1),"",B90)</f>
        <v/>
      </c>
      <c r="Q90" t="str">
        <f t="shared" si="11"/>
        <v/>
      </c>
      <c r="R90" t="str">
        <f t="shared" si="12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F91" s="61">
        <v>86</v>
      </c>
      <c r="G91" s="44" t="str">
        <f t="shared" si="4"/>
        <v/>
      </c>
      <c r="H91" s="44" t="str">
        <f t="shared" si="9"/>
        <v/>
      </c>
      <c r="I91" s="43" t="str">
        <f t="shared" si="10"/>
        <v/>
      </c>
      <c r="P91" t="str">
        <f>IF(OR(B91="",COUNTIF($B$6:$B91,B91)&gt;1),"",B91)</f>
        <v/>
      </c>
      <c r="Q91" t="str">
        <f t="shared" si="11"/>
        <v/>
      </c>
      <c r="R91" t="str">
        <f t="shared" si="12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F92" s="61">
        <v>87</v>
      </c>
      <c r="G92" s="44" t="str">
        <f t="shared" si="4"/>
        <v/>
      </c>
      <c r="H92" s="44" t="str">
        <f t="shared" si="9"/>
        <v/>
      </c>
      <c r="I92" s="43" t="str">
        <f t="shared" si="10"/>
        <v/>
      </c>
      <c r="P92" t="str">
        <f>IF(OR(B92="",COUNTIF($B$6:$B92,B92)&gt;1),"",B92)</f>
        <v/>
      </c>
      <c r="Q92" t="str">
        <f t="shared" si="11"/>
        <v/>
      </c>
      <c r="R92" t="str">
        <f t="shared" si="12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F93" s="61">
        <v>88</v>
      </c>
      <c r="G93" s="44" t="str">
        <f t="shared" si="4"/>
        <v/>
      </c>
      <c r="H93" s="44" t="str">
        <f t="shared" si="9"/>
        <v/>
      </c>
      <c r="I93" s="43" t="str">
        <f t="shared" si="10"/>
        <v/>
      </c>
      <c r="P93" t="str">
        <f>IF(OR(B93="",COUNTIF($B$6:$B93,B93)&gt;1),"",B93)</f>
        <v/>
      </c>
      <c r="Q93" t="str">
        <f t="shared" si="11"/>
        <v/>
      </c>
      <c r="R93" t="str">
        <f t="shared" si="12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F94" s="61">
        <v>89</v>
      </c>
      <c r="G94" s="44" t="str">
        <f t="shared" si="4"/>
        <v/>
      </c>
      <c r="H94" s="44" t="str">
        <f t="shared" si="9"/>
        <v/>
      </c>
      <c r="I94" s="43" t="str">
        <f t="shared" si="10"/>
        <v/>
      </c>
      <c r="P94" t="str">
        <f>IF(OR(B94="",COUNTIF($B$6:$B94,B94)&gt;1),"",B94)</f>
        <v/>
      </c>
      <c r="Q94" t="str">
        <f t="shared" si="11"/>
        <v/>
      </c>
      <c r="R94" t="str">
        <f t="shared" si="12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F95" s="61">
        <v>90</v>
      </c>
      <c r="G95" s="44" t="str">
        <f t="shared" si="4"/>
        <v/>
      </c>
      <c r="H95" s="44" t="str">
        <f t="shared" si="9"/>
        <v/>
      </c>
      <c r="I95" s="43" t="str">
        <f t="shared" si="10"/>
        <v/>
      </c>
      <c r="P95" t="str">
        <f>IF(OR(B95="",COUNTIF($B$6:$B95,B95)&gt;1),"",B95)</f>
        <v/>
      </c>
      <c r="Q95" t="str">
        <f t="shared" si="11"/>
        <v/>
      </c>
      <c r="R95" t="str">
        <f t="shared" si="12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F96" s="61">
        <v>91</v>
      </c>
      <c r="G96" s="44" t="str">
        <f t="shared" si="4"/>
        <v/>
      </c>
      <c r="H96" s="44" t="str">
        <f t="shared" si="9"/>
        <v/>
      </c>
      <c r="I96" s="43" t="str">
        <f t="shared" si="10"/>
        <v/>
      </c>
      <c r="P96" t="str">
        <f>IF(OR(B96="",COUNTIF($B$6:$B96,B96)&gt;1),"",B96)</f>
        <v/>
      </c>
      <c r="Q96" t="str">
        <f t="shared" si="11"/>
        <v/>
      </c>
      <c r="R96" t="str">
        <f t="shared" si="12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F97" s="61">
        <v>92</v>
      </c>
      <c r="G97" s="44" t="str">
        <f t="shared" si="4"/>
        <v/>
      </c>
      <c r="H97" s="44" t="str">
        <f t="shared" si="9"/>
        <v/>
      </c>
      <c r="I97" s="43" t="str">
        <f t="shared" si="10"/>
        <v/>
      </c>
      <c r="P97" t="str">
        <f>IF(OR(B97="",COUNTIF($B$6:$B97,B97)&gt;1),"",B97)</f>
        <v/>
      </c>
      <c r="Q97" t="str">
        <f t="shared" si="11"/>
        <v/>
      </c>
      <c r="R97" t="str">
        <f t="shared" si="12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F98" s="61">
        <v>93</v>
      </c>
      <c r="G98" s="44" t="str">
        <f t="shared" si="4"/>
        <v/>
      </c>
      <c r="H98" s="44" t="str">
        <f t="shared" si="9"/>
        <v/>
      </c>
      <c r="I98" s="43" t="str">
        <f t="shared" si="10"/>
        <v/>
      </c>
      <c r="P98" t="str">
        <f>IF(OR(B98="",COUNTIF($B$6:$B98,B98)&gt;1),"",B98)</f>
        <v/>
      </c>
      <c r="Q98" t="str">
        <f t="shared" si="11"/>
        <v/>
      </c>
      <c r="R98" t="str">
        <f t="shared" si="12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/>
      </c>
      <c r="Q99" t="str">
        <f t="shared" si="11"/>
        <v/>
      </c>
      <c r="R99" t="str">
        <f t="shared" si="12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/>
      </c>
      <c r="Q100" t="str">
        <f t="shared" si="11"/>
        <v/>
      </c>
      <c r="R100" t="str">
        <f t="shared" si="12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2026-06-16T00:31:33Z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