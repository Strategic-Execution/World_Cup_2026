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1937C2BF-6C95-410E-A121-8590F8D42381}" xr6:coauthVersionLast="47" xr6:coauthVersionMax="47" xr10:uidLastSave="{00000000-0000-0000-0000-000000000000}"/>
  <bookViews>
    <workbookView xWindow="-96" yWindow="-96" windowWidth="28992" windowHeight="15672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8" l="1"/>
  <c r="H44" i="8"/>
  <c r="I44" i="8"/>
  <c r="G45" i="8"/>
  <c r="H45" i="8"/>
  <c r="I45" i="8"/>
  <c r="G46" i="8"/>
  <c r="H46" i="8"/>
  <c r="I46" i="8"/>
  <c r="G47" i="8"/>
  <c r="H47" i="8"/>
  <c r="I47" i="8"/>
  <c r="G48" i="8"/>
  <c r="H48" i="8"/>
  <c r="I48" i="8"/>
  <c r="G49" i="8"/>
  <c r="H49" i="8"/>
  <c r="I49" i="8"/>
  <c r="G50" i="8"/>
  <c r="H50" i="8"/>
  <c r="I50" i="8"/>
  <c r="G51" i="8"/>
  <c r="H51" i="8"/>
  <c r="I51" i="8"/>
  <c r="G52" i="8"/>
  <c r="H52" i="8"/>
  <c r="I52" i="8"/>
  <c r="G53" i="8"/>
  <c r="H53" i="8"/>
  <c r="I53" i="8"/>
  <c r="G54" i="8"/>
  <c r="H54" i="8"/>
  <c r="I54" i="8"/>
  <c r="G55" i="8"/>
  <c r="H55" i="8"/>
  <c r="I55" i="8"/>
  <c r="G56" i="8"/>
  <c r="H56" i="8"/>
  <c r="I56" i="8"/>
  <c r="G57" i="8"/>
  <c r="H57" i="8"/>
  <c r="I57" i="8"/>
  <c r="G58" i="8"/>
  <c r="H58" i="8"/>
  <c r="I58" i="8"/>
  <c r="G59" i="8"/>
  <c r="H59" i="8"/>
  <c r="I59" i="8"/>
  <c r="G60" i="8"/>
  <c r="H60" i="8"/>
  <c r="I60" i="8"/>
  <c r="G61" i="8"/>
  <c r="H61" i="8"/>
  <c r="I61" i="8"/>
  <c r="G62" i="8"/>
  <c r="H62" i="8"/>
  <c r="I62" i="8"/>
  <c r="G63" i="8"/>
  <c r="H63" i="8"/>
  <c r="I63" i="8"/>
  <c r="G64" i="8"/>
  <c r="H64" i="8"/>
  <c r="I64" i="8"/>
  <c r="G65" i="8"/>
  <c r="H65" i="8"/>
  <c r="I65" i="8"/>
  <c r="G66" i="8"/>
  <c r="H66" i="8"/>
  <c r="I66" i="8"/>
  <c r="G67" i="8"/>
  <c r="H67" i="8"/>
  <c r="I67" i="8"/>
  <c r="G68" i="8"/>
  <c r="H68" i="8"/>
  <c r="I68" i="8"/>
  <c r="G69" i="8"/>
  <c r="H69" i="8"/>
  <c r="I69" i="8"/>
  <c r="G70" i="8"/>
  <c r="H70" i="8"/>
  <c r="I70" i="8"/>
  <c r="G71" i="8"/>
  <c r="H71" i="8"/>
  <c r="I71" i="8"/>
  <c r="G72" i="8"/>
  <c r="H72" i="8"/>
  <c r="I72" i="8"/>
  <c r="G73" i="8"/>
  <c r="H73" i="8"/>
  <c r="I73" i="8"/>
  <c r="G74" i="8"/>
  <c r="H74" i="8"/>
  <c r="I74" i="8"/>
  <c r="G75" i="8"/>
  <c r="H75" i="8"/>
  <c r="I75" i="8"/>
  <c r="G76" i="8"/>
  <c r="H76" i="8"/>
  <c r="I76" i="8"/>
  <c r="G77" i="8"/>
  <c r="H77" i="8"/>
  <c r="I77" i="8"/>
  <c r="G78" i="8"/>
  <c r="H78" i="8"/>
  <c r="I78" i="8"/>
  <c r="G79" i="8"/>
  <c r="H79" i="8"/>
  <c r="I79" i="8"/>
  <c r="G80" i="8"/>
  <c r="H80" i="8"/>
  <c r="I80" i="8"/>
  <c r="G81" i="8"/>
  <c r="H81" i="8"/>
  <c r="I81" i="8"/>
  <c r="G82" i="8"/>
  <c r="H82" i="8"/>
  <c r="I82" i="8"/>
  <c r="G83" i="8"/>
  <c r="H83" i="8"/>
  <c r="I83" i="8"/>
  <c r="G84" i="8"/>
  <c r="H84" i="8"/>
  <c r="I84" i="8"/>
  <c r="G85" i="8"/>
  <c r="H85" i="8"/>
  <c r="I85" i="8"/>
  <c r="G86" i="8"/>
  <c r="H86" i="8"/>
  <c r="I86" i="8"/>
  <c r="G87" i="8"/>
  <c r="H87" i="8"/>
  <c r="I87" i="8"/>
  <c r="G88" i="8"/>
  <c r="H88" i="8"/>
  <c r="I88" i="8"/>
  <c r="G89" i="8"/>
  <c r="H89" i="8"/>
  <c r="I89" i="8"/>
  <c r="G90" i="8"/>
  <c r="H90" i="8"/>
  <c r="I90" i="8"/>
  <c r="G91" i="8"/>
  <c r="H91" i="8"/>
  <c r="I91" i="8"/>
  <c r="G92" i="8"/>
  <c r="H92" i="8"/>
  <c r="I92" i="8"/>
  <c r="G93" i="8"/>
  <c r="H93" i="8"/>
  <c r="I93" i="8"/>
  <c r="G94" i="8"/>
  <c r="H94" i="8"/>
  <c r="I94" i="8"/>
  <c r="G95" i="8"/>
  <c r="H95" i="8"/>
  <c r="I95" i="8"/>
  <c r="G96" i="8"/>
  <c r="H96" i="8"/>
  <c r="I96" i="8"/>
  <c r="G97" i="8"/>
  <c r="H97" i="8"/>
  <c r="I97" i="8"/>
  <c r="G98" i="8"/>
  <c r="H98" i="8"/>
  <c r="I98" i="8"/>
  <c r="G99" i="8"/>
  <c r="H99" i="8"/>
  <c r="I99" i="8"/>
  <c r="G100" i="8"/>
  <c r="H100" i="8"/>
  <c r="I100" i="8"/>
  <c r="G101" i="8"/>
  <c r="H101" i="8"/>
  <c r="I101" i="8"/>
  <c r="G102" i="8"/>
  <c r="H102" i="8"/>
  <c r="I102" i="8"/>
  <c r="G103" i="8"/>
  <c r="H103" i="8"/>
  <c r="I103" i="8"/>
  <c r="G104" i="8"/>
  <c r="H104" i="8"/>
  <c r="I104" i="8"/>
  <c r="G105" i="8"/>
  <c r="H105" i="8"/>
  <c r="I105" i="8"/>
  <c r="G106" i="8"/>
  <c r="H106" i="8"/>
  <c r="I106" i="8"/>
  <c r="G107" i="8"/>
  <c r="H107" i="8"/>
  <c r="I107" i="8"/>
  <c r="G108" i="8"/>
  <c r="H108" i="8"/>
  <c r="I108" i="8"/>
  <c r="G109" i="8"/>
  <c r="H109" i="8"/>
  <c r="I109" i="8"/>
  <c r="G110" i="8"/>
  <c r="H110" i="8"/>
  <c r="I110" i="8"/>
  <c r="G111" i="8"/>
  <c r="H111" i="8"/>
  <c r="I111" i="8"/>
  <c r="G112" i="8"/>
  <c r="H112" i="8"/>
  <c r="I112" i="8"/>
  <c r="G113" i="8"/>
  <c r="H113" i="8"/>
  <c r="I113" i="8"/>
  <c r="G114" i="8"/>
  <c r="H114" i="8"/>
  <c r="I114" i="8"/>
  <c r="G115" i="8"/>
  <c r="H115" i="8"/>
  <c r="I115" i="8"/>
  <c r="G116" i="8"/>
  <c r="H116" i="8"/>
  <c r="I116" i="8"/>
  <c r="G117" i="8"/>
  <c r="H117" i="8"/>
  <c r="I117" i="8"/>
  <c r="G118" i="8"/>
  <c r="H118" i="8"/>
  <c r="I118" i="8"/>
  <c r="G119" i="8"/>
  <c r="H119" i="8"/>
  <c r="I119" i="8"/>
  <c r="G120" i="8"/>
  <c r="H120" i="8"/>
  <c r="I120" i="8"/>
  <c r="G121" i="8"/>
  <c r="H121" i="8"/>
  <c r="I121" i="8"/>
  <c r="G122" i="8"/>
  <c r="H122" i="8"/>
  <c r="I122" i="8"/>
  <c r="G123" i="8"/>
  <c r="H123" i="8"/>
  <c r="I123" i="8"/>
  <c r="G124" i="8"/>
  <c r="H124" i="8"/>
  <c r="I124" i="8"/>
  <c r="G125" i="8"/>
  <c r="H125" i="8"/>
  <c r="I125" i="8"/>
  <c r="G126" i="8"/>
  <c r="H126" i="8"/>
  <c r="I126" i="8"/>
  <c r="G127" i="8"/>
  <c r="H127" i="8"/>
  <c r="I127" i="8"/>
  <c r="G128" i="8"/>
  <c r="H128" i="8"/>
  <c r="I128" i="8"/>
  <c r="G129" i="8"/>
  <c r="H129" i="8"/>
  <c r="I129" i="8"/>
  <c r="G130" i="8"/>
  <c r="H130" i="8"/>
  <c r="I130" i="8"/>
  <c r="G131" i="8"/>
  <c r="H131" i="8"/>
  <c r="I131" i="8"/>
  <c r="G132" i="8"/>
  <c r="H132" i="8"/>
  <c r="I132" i="8"/>
  <c r="G133" i="8"/>
  <c r="H133" i="8"/>
  <c r="I133" i="8"/>
  <c r="G134" i="8"/>
  <c r="H134" i="8"/>
  <c r="I134" i="8"/>
  <c r="G135" i="8"/>
  <c r="H135" i="8"/>
  <c r="I135" i="8"/>
  <c r="G136" i="8"/>
  <c r="H136" i="8"/>
  <c r="I136" i="8"/>
  <c r="G137" i="8"/>
  <c r="H137" i="8"/>
  <c r="I137" i="8"/>
  <c r="G138" i="8"/>
  <c r="H138" i="8"/>
  <c r="I138" i="8"/>
  <c r="G139" i="8"/>
  <c r="H139" i="8"/>
  <c r="I139" i="8"/>
  <c r="G140" i="8"/>
  <c r="H140" i="8"/>
  <c r="I140" i="8"/>
  <c r="G141" i="8"/>
  <c r="H141" i="8"/>
  <c r="I141" i="8"/>
  <c r="G142" i="8"/>
  <c r="H142" i="8"/>
  <c r="I142" i="8"/>
  <c r="G143" i="8"/>
  <c r="H143" i="8"/>
  <c r="I143" i="8"/>
  <c r="G144" i="8"/>
  <c r="H144" i="8"/>
  <c r="I144" i="8"/>
  <c r="G145" i="8"/>
  <c r="H145" i="8"/>
  <c r="I145" i="8"/>
  <c r="G146" i="8"/>
  <c r="H146" i="8"/>
  <c r="I146" i="8"/>
  <c r="G147" i="8"/>
  <c r="H147" i="8"/>
  <c r="I147" i="8"/>
  <c r="G148" i="8"/>
  <c r="H148" i="8"/>
  <c r="I148" i="8"/>
  <c r="G149" i="8"/>
  <c r="H149" i="8"/>
  <c r="I149" i="8"/>
  <c r="G150" i="8"/>
  <c r="H150" i="8"/>
  <c r="I150" i="8"/>
  <c r="G151" i="8"/>
  <c r="H151" i="8"/>
  <c r="I151" i="8"/>
  <c r="G152" i="8"/>
  <c r="H152" i="8"/>
  <c r="I152" i="8"/>
  <c r="G153" i="8"/>
  <c r="H153" i="8"/>
  <c r="I153" i="8"/>
  <c r="G154" i="8"/>
  <c r="H154" i="8"/>
  <c r="I154" i="8"/>
  <c r="G155" i="8"/>
  <c r="H155" i="8"/>
  <c r="I155" i="8"/>
  <c r="G156" i="8"/>
  <c r="H156" i="8"/>
  <c r="I156" i="8"/>
  <c r="G157" i="8"/>
  <c r="H157" i="8"/>
  <c r="I157" i="8"/>
  <c r="G158" i="8"/>
  <c r="H158" i="8"/>
  <c r="I158" i="8"/>
  <c r="G159" i="8"/>
  <c r="H159" i="8"/>
  <c r="I159" i="8"/>
  <c r="G160" i="8"/>
  <c r="H160" i="8"/>
  <c r="I160" i="8"/>
  <c r="G161" i="8"/>
  <c r="H161" i="8"/>
  <c r="I161" i="8"/>
  <c r="G162" i="8"/>
  <c r="H162" i="8"/>
  <c r="I162" i="8"/>
  <c r="G163" i="8"/>
  <c r="H163" i="8"/>
  <c r="I163" i="8"/>
  <c r="G164" i="8"/>
  <c r="H164" i="8"/>
  <c r="I164" i="8"/>
  <c r="G165" i="8"/>
  <c r="H165" i="8"/>
  <c r="I165" i="8"/>
  <c r="G166" i="8"/>
  <c r="H166" i="8"/>
  <c r="I166" i="8"/>
  <c r="G167" i="8"/>
  <c r="H167" i="8"/>
  <c r="I167" i="8"/>
  <c r="G168" i="8"/>
  <c r="H168" i="8"/>
  <c r="I168" i="8"/>
  <c r="G169" i="8"/>
  <c r="H169" i="8"/>
  <c r="I169" i="8"/>
  <c r="G170" i="8"/>
  <c r="H170" i="8"/>
  <c r="I170" i="8"/>
  <c r="G171" i="8"/>
  <c r="H171" i="8"/>
  <c r="I171" i="8"/>
  <c r="G172" i="8"/>
  <c r="H172" i="8"/>
  <c r="I172" i="8"/>
  <c r="G173" i="8"/>
  <c r="H173" i="8"/>
  <c r="I173" i="8"/>
  <c r="G174" i="8"/>
  <c r="H174" i="8"/>
  <c r="I174" i="8"/>
  <c r="G175" i="8"/>
  <c r="H175" i="8"/>
  <c r="I175" i="8"/>
  <c r="G176" i="8"/>
  <c r="H176" i="8"/>
  <c r="I176" i="8"/>
  <c r="G177" i="8"/>
  <c r="H177" i="8"/>
  <c r="I177" i="8"/>
  <c r="G178" i="8"/>
  <c r="H178" i="8"/>
  <c r="I178" i="8"/>
  <c r="G179" i="8"/>
  <c r="H179" i="8"/>
  <c r="I179" i="8"/>
  <c r="G180" i="8"/>
  <c r="H180" i="8"/>
  <c r="I180" i="8"/>
  <c r="G181" i="8"/>
  <c r="H181" i="8"/>
  <c r="I181" i="8"/>
  <c r="G182" i="8"/>
  <c r="H182" i="8"/>
  <c r="I182" i="8"/>
  <c r="G183" i="8"/>
  <c r="H183" i="8"/>
  <c r="I183" i="8"/>
  <c r="G184" i="8"/>
  <c r="H184" i="8"/>
  <c r="I184" i="8"/>
  <c r="G185" i="8"/>
  <c r="H185" i="8"/>
  <c r="I185" i="8"/>
  <c r="G186" i="8"/>
  <c r="H186" i="8"/>
  <c r="I186" i="8"/>
  <c r="G187" i="8"/>
  <c r="H187" i="8"/>
  <c r="I187" i="8"/>
  <c r="G188" i="8"/>
  <c r="H188" i="8"/>
  <c r="I188" i="8"/>
  <c r="G189" i="8"/>
  <c r="H189" i="8"/>
  <c r="I189" i="8"/>
  <c r="G190" i="8"/>
  <c r="H190" i="8"/>
  <c r="I190" i="8"/>
  <c r="G191" i="8"/>
  <c r="H191" i="8"/>
  <c r="I191" i="8"/>
  <c r="G192" i="8"/>
  <c r="H192" i="8"/>
  <c r="I192" i="8"/>
  <c r="G193" i="8"/>
  <c r="H193" i="8"/>
  <c r="I193" i="8"/>
  <c r="G194" i="8"/>
  <c r="H194" i="8"/>
  <c r="I194" i="8"/>
  <c r="G195" i="8"/>
  <c r="H195" i="8"/>
  <c r="I195" i="8"/>
  <c r="G196" i="8"/>
  <c r="H196" i="8"/>
  <c r="I196" i="8"/>
  <c r="G197" i="8"/>
  <c r="H197" i="8"/>
  <c r="I197" i="8"/>
  <c r="G198" i="8"/>
  <c r="H198" i="8"/>
  <c r="I198" i="8"/>
  <c r="G199" i="8"/>
  <c r="H199" i="8"/>
  <c r="I199" i="8"/>
  <c r="G200" i="8"/>
  <c r="H200" i="8"/>
  <c r="I200" i="8"/>
  <c r="G201" i="8"/>
  <c r="H201" i="8"/>
  <c r="I201" i="8"/>
  <c r="G202" i="8"/>
  <c r="H202" i="8"/>
  <c r="I202" i="8"/>
  <c r="G203" i="8"/>
  <c r="H203" i="8"/>
  <c r="I203" i="8"/>
  <c r="G204" i="8"/>
  <c r="H204" i="8"/>
  <c r="I204" i="8"/>
  <c r="G205" i="8"/>
  <c r="H205" i="8"/>
  <c r="I205" i="8"/>
  <c r="G206" i="8"/>
  <c r="H206" i="8"/>
  <c r="I206" i="8"/>
  <c r="G207" i="8"/>
  <c r="H207" i="8"/>
  <c r="I207" i="8"/>
  <c r="G208" i="8"/>
  <c r="H208" i="8"/>
  <c r="I208" i="8"/>
  <c r="G209" i="8"/>
  <c r="H209" i="8"/>
  <c r="I209" i="8"/>
  <c r="G210" i="8"/>
  <c r="H210" i="8"/>
  <c r="I210" i="8"/>
  <c r="G211" i="8"/>
  <c r="H211" i="8"/>
  <c r="I211" i="8"/>
  <c r="G212" i="8"/>
  <c r="H212" i="8"/>
  <c r="I212" i="8"/>
  <c r="G213" i="8"/>
  <c r="H213" i="8"/>
  <c r="I213" i="8"/>
  <c r="G214" i="8"/>
  <c r="H214" i="8"/>
  <c r="I214" i="8"/>
  <c r="G215" i="8"/>
  <c r="H215" i="8"/>
  <c r="I215" i="8"/>
  <c r="G216" i="8"/>
  <c r="H216" i="8"/>
  <c r="I216" i="8"/>
  <c r="G217" i="8"/>
  <c r="H217" i="8"/>
  <c r="I217" i="8"/>
  <c r="G218" i="8"/>
  <c r="H218" i="8"/>
  <c r="I218" i="8"/>
  <c r="G219" i="8"/>
  <c r="H219" i="8"/>
  <c r="I219" i="8"/>
  <c r="G220" i="8"/>
  <c r="H220" i="8"/>
  <c r="I220" i="8"/>
  <c r="G221" i="8"/>
  <c r="H221" i="8"/>
  <c r="I221" i="8"/>
  <c r="G222" i="8"/>
  <c r="H222" i="8"/>
  <c r="I222" i="8"/>
  <c r="G223" i="8"/>
  <c r="H223" i="8"/>
  <c r="I223" i="8"/>
  <c r="G224" i="8"/>
  <c r="H224" i="8"/>
  <c r="I224" i="8"/>
  <c r="G225" i="8"/>
  <c r="H225" i="8"/>
  <c r="I225" i="8"/>
  <c r="G226" i="8"/>
  <c r="H226" i="8"/>
  <c r="I226" i="8"/>
  <c r="G227" i="8"/>
  <c r="H227" i="8"/>
  <c r="I227" i="8"/>
  <c r="G228" i="8"/>
  <c r="H228" i="8"/>
  <c r="I228" i="8"/>
  <c r="G229" i="8"/>
  <c r="H229" i="8"/>
  <c r="I229" i="8"/>
  <c r="G230" i="8"/>
  <c r="H230" i="8"/>
  <c r="I230" i="8"/>
  <c r="G231" i="8"/>
  <c r="H231" i="8"/>
  <c r="I231" i="8"/>
  <c r="G232" i="8"/>
  <c r="H232" i="8"/>
  <c r="I232" i="8"/>
  <c r="G233" i="8"/>
  <c r="H233" i="8"/>
  <c r="I233" i="8"/>
  <c r="G234" i="8"/>
  <c r="H234" i="8"/>
  <c r="I234" i="8"/>
  <c r="G235" i="8"/>
  <c r="H235" i="8"/>
  <c r="I235" i="8"/>
  <c r="G236" i="8"/>
  <c r="H236" i="8"/>
  <c r="I236" i="8"/>
  <c r="G237" i="8"/>
  <c r="H237" i="8"/>
  <c r="I237" i="8"/>
  <c r="G238" i="8"/>
  <c r="H238" i="8"/>
  <c r="I238" i="8"/>
  <c r="G239" i="8"/>
  <c r="H239" i="8"/>
  <c r="I239" i="8"/>
  <c r="G240" i="8"/>
  <c r="H240" i="8"/>
  <c r="I240" i="8"/>
  <c r="G241" i="8"/>
  <c r="H241" i="8"/>
  <c r="I241" i="8"/>
  <c r="G242" i="8"/>
  <c r="H242" i="8"/>
  <c r="I242" i="8"/>
  <c r="G243" i="8"/>
  <c r="H243" i="8"/>
  <c r="I243" i="8"/>
  <c r="G244" i="8"/>
  <c r="H244" i="8"/>
  <c r="I244" i="8"/>
  <c r="G245" i="8"/>
  <c r="H245" i="8"/>
  <c r="I245" i="8"/>
  <c r="G246" i="8"/>
  <c r="H246" i="8"/>
  <c r="I246" i="8"/>
  <c r="G247" i="8"/>
  <c r="H247" i="8"/>
  <c r="I247" i="8"/>
  <c r="G248" i="8"/>
  <c r="H248" i="8"/>
  <c r="I248" i="8"/>
  <c r="G249" i="8"/>
  <c r="H249" i="8"/>
  <c r="I249" i="8"/>
  <c r="G250" i="8"/>
  <c r="H250" i="8"/>
  <c r="I250" i="8"/>
  <c r="G251" i="8"/>
  <c r="H251" i="8"/>
  <c r="I251" i="8"/>
  <c r="G252" i="8"/>
  <c r="H252" i="8"/>
  <c r="I252" i="8"/>
  <c r="G253" i="8"/>
  <c r="H253" i="8"/>
  <c r="I253" i="8"/>
  <c r="G254" i="8"/>
  <c r="H254" i="8"/>
  <c r="I254" i="8"/>
  <c r="G255" i="8"/>
  <c r="H255" i="8"/>
  <c r="I255" i="8"/>
  <c r="G256" i="8"/>
  <c r="H256" i="8"/>
  <c r="I256" i="8"/>
  <c r="G257" i="8"/>
  <c r="H257" i="8"/>
  <c r="I257" i="8"/>
  <c r="G258" i="8"/>
  <c r="H258" i="8"/>
  <c r="I258" i="8"/>
  <c r="G259" i="8"/>
  <c r="H259" i="8"/>
  <c r="I259" i="8"/>
  <c r="G260" i="8"/>
  <c r="H260" i="8"/>
  <c r="I260" i="8"/>
  <c r="G261" i="8"/>
  <c r="H261" i="8"/>
  <c r="I261" i="8"/>
  <c r="G262" i="8"/>
  <c r="H262" i="8"/>
  <c r="I262" i="8"/>
  <c r="G263" i="8"/>
  <c r="H263" i="8"/>
  <c r="I263" i="8"/>
  <c r="G264" i="8"/>
  <c r="H264" i="8"/>
  <c r="I264" i="8"/>
  <c r="G265" i="8"/>
  <c r="H265" i="8"/>
  <c r="I265" i="8"/>
  <c r="G266" i="8"/>
  <c r="H266" i="8"/>
  <c r="I266" i="8"/>
  <c r="G267" i="8"/>
  <c r="H267" i="8"/>
  <c r="I267" i="8"/>
  <c r="G268" i="8"/>
  <c r="H268" i="8"/>
  <c r="I268" i="8"/>
  <c r="G269" i="8"/>
  <c r="H269" i="8"/>
  <c r="I269" i="8"/>
  <c r="G270" i="8"/>
  <c r="H270" i="8"/>
  <c r="I270" i="8"/>
  <c r="G271" i="8"/>
  <c r="H271" i="8"/>
  <c r="I271" i="8"/>
  <c r="G272" i="8"/>
  <c r="H272" i="8"/>
  <c r="I272" i="8"/>
  <c r="G273" i="8"/>
  <c r="H273" i="8"/>
  <c r="I273" i="8"/>
  <c r="G274" i="8"/>
  <c r="H274" i="8"/>
  <c r="I274" i="8"/>
  <c r="G275" i="8"/>
  <c r="H275" i="8"/>
  <c r="I275" i="8"/>
  <c r="G276" i="8"/>
  <c r="H276" i="8"/>
  <c r="I276" i="8"/>
  <c r="G277" i="8"/>
  <c r="H277" i="8"/>
  <c r="I277" i="8"/>
  <c r="G278" i="8"/>
  <c r="H278" i="8"/>
  <c r="I278" i="8"/>
  <c r="G279" i="8"/>
  <c r="H279" i="8"/>
  <c r="I279" i="8"/>
  <c r="G280" i="8"/>
  <c r="H280" i="8"/>
  <c r="I280" i="8"/>
  <c r="G281" i="8"/>
  <c r="H281" i="8"/>
  <c r="I281" i="8"/>
  <c r="G282" i="8"/>
  <c r="H282" i="8"/>
  <c r="I282" i="8"/>
  <c r="G283" i="8"/>
  <c r="H283" i="8"/>
  <c r="I283" i="8"/>
  <c r="G284" i="8"/>
  <c r="H284" i="8"/>
  <c r="I284" i="8"/>
  <c r="G285" i="8"/>
  <c r="H285" i="8"/>
  <c r="I285" i="8"/>
  <c r="G286" i="8"/>
  <c r="H286" i="8"/>
  <c r="I286" i="8"/>
  <c r="G287" i="8"/>
  <c r="H287" i="8"/>
  <c r="I287" i="8"/>
  <c r="G288" i="8"/>
  <c r="H288" i="8"/>
  <c r="I288" i="8"/>
  <c r="G289" i="8"/>
  <c r="H289" i="8"/>
  <c r="I289" i="8"/>
  <c r="G290" i="8"/>
  <c r="H290" i="8"/>
  <c r="I290" i="8"/>
  <c r="G291" i="8"/>
  <c r="H291" i="8"/>
  <c r="I291" i="8"/>
  <c r="G292" i="8"/>
  <c r="H292" i="8"/>
  <c r="I292" i="8"/>
  <c r="G293" i="8"/>
  <c r="H293" i="8"/>
  <c r="I293" i="8"/>
  <c r="G294" i="8"/>
  <c r="H294" i="8"/>
  <c r="I294" i="8"/>
  <c r="G295" i="8"/>
  <c r="H295" i="8"/>
  <c r="I295" i="8"/>
  <c r="G296" i="8"/>
  <c r="H296" i="8"/>
  <c r="I296" i="8"/>
  <c r="G297" i="8"/>
  <c r="H297" i="8"/>
  <c r="I297" i="8"/>
  <c r="G298" i="8"/>
  <c r="H298" i="8"/>
  <c r="I298" i="8"/>
  <c r="G299" i="8"/>
  <c r="H299" i="8"/>
  <c r="I299" i="8"/>
  <c r="G300" i="8"/>
  <c r="H300" i="8"/>
  <c r="I300" i="8"/>
  <c r="G301" i="8"/>
  <c r="H301" i="8"/>
  <c r="I301" i="8"/>
  <c r="G302" i="8"/>
  <c r="H302" i="8"/>
  <c r="I302" i="8"/>
  <c r="G303" i="8"/>
  <c r="H303" i="8"/>
  <c r="I303" i="8"/>
  <c r="G304" i="8"/>
  <c r="H304" i="8"/>
  <c r="I304" i="8"/>
  <c r="G305" i="8"/>
  <c r="H305" i="8"/>
  <c r="I305" i="8"/>
  <c r="G43" i="8"/>
  <c r="H43" i="8"/>
  <c r="I43" i="8"/>
  <c r="G41" i="8"/>
  <c r="H41" i="8"/>
  <c r="I41" i="8"/>
  <c r="G42" i="8"/>
  <c r="H42" i="8"/>
  <c r="I42" i="8"/>
  <c r="I40" i="8"/>
  <c r="H40" i="8"/>
  <c r="G40" i="8"/>
  <c r="I39" i="8"/>
  <c r="I38" i="8"/>
  <c r="I37" i="8"/>
  <c r="I36" i="8"/>
  <c r="H39" i="8"/>
  <c r="H38" i="8"/>
  <c r="H37" i="8"/>
  <c r="G39" i="8"/>
  <c r="G38" i="8"/>
  <c r="G37" i="8"/>
  <c r="H36" i="8"/>
  <c r="G36" i="8"/>
  <c r="B104" i="9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S99" i="8" s="1"/>
  <c r="U98" i="8"/>
  <c r="V98" i="8" s="1"/>
  <c r="T98" i="8"/>
  <c r="W98" i="8" s="1"/>
  <c r="P98" i="8"/>
  <c r="S98" i="8" s="1"/>
  <c r="U97" i="8"/>
  <c r="V97" i="8" s="1"/>
  <c r="T97" i="8"/>
  <c r="W97" i="8" s="1"/>
  <c r="P97" i="8"/>
  <c r="Q97" i="8" s="1"/>
  <c r="U96" i="8"/>
  <c r="V96" i="8" s="1"/>
  <c r="T96" i="8"/>
  <c r="W96" i="8" s="1"/>
  <c r="P96" i="8"/>
  <c r="S96" i="8" s="1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S86" i="8" s="1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U59" i="8"/>
  <c r="V59" i="8" s="1"/>
  <c r="T59" i="8"/>
  <c r="W59" i="8" s="1"/>
  <c r="P59" i="8"/>
  <c r="U58" i="8"/>
  <c r="V58" i="8" s="1"/>
  <c r="T58" i="8"/>
  <c r="W58" i="8" s="1"/>
  <c r="P58" i="8"/>
  <c r="S58" i="8" s="1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S45" i="8" s="1"/>
  <c r="U44" i="8"/>
  <c r="V44" i="8" s="1"/>
  <c r="T44" i="8"/>
  <c r="P44" i="8"/>
  <c r="Q44" i="8" s="1"/>
  <c r="U43" i="8"/>
  <c r="V43" i="8" s="1"/>
  <c r="T43" i="8"/>
  <c r="P43" i="8"/>
  <c r="S43" i="8" s="1"/>
  <c r="U42" i="8"/>
  <c r="V42" i="8" s="1"/>
  <c r="T42" i="8"/>
  <c r="P42" i="8"/>
  <c r="S42" i="8" s="1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28" i="6" l="1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47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S41" i="8" s="1"/>
  <c r="Q101" i="8"/>
  <c r="R205" i="8"/>
  <c r="S250" i="8"/>
  <c r="S44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S4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S46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40" i="8" l="1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H10" i="8" l="1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<sst xmlns="http://schemas.openxmlformats.org/spreadsheetml/2006/main" count="1078" uniqueCount="399">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</sst>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4.4" x14ac:dyDescent="0.55000000000000004"/>
  <cols>
    <col min="1" max="1" width="80" customWidth="1"/>
  </cols>
  <sheetData>
    <row r="1" spans="1:1" ht="18.75" customHeight="1" x14ac:dyDescent="0.7">
      <c r="A1" s="1" t="s">
        <v>21</v>
      </c>
    </row>
    <row r="3" spans="1:1" x14ac:dyDescent="0.55000000000000004">
      <c r="A3" s="2" t="s">
        <v>22</v>
      </c>
    </row>
    <row r="5" spans="1:1" x14ac:dyDescent="0.55000000000000004">
      <c r="A5" s="2" t="s">
        <v>23</v>
      </c>
    </row>
    <row r="6" spans="1:1" x14ac:dyDescent="0.55000000000000004">
      <c r="A6" t="s">
        <v>24</v>
      </c>
    </row>
    <row r="7" spans="1:1" x14ac:dyDescent="0.55000000000000004">
      <c r="A7" t="s">
        <v>25</v>
      </c>
    </row>
    <row r="8" spans="1:1" x14ac:dyDescent="0.55000000000000004">
      <c r="A8" t="s">
        <v>26</v>
      </c>
    </row>
    <row r="10" spans="1:1" x14ac:dyDescent="0.55000000000000004">
      <c r="A10" s="2" t="s">
        <v>27</v>
      </c>
    </row>
    <row r="11" spans="1:1" x14ac:dyDescent="0.55000000000000004">
      <c r="A11" t="s">
        <v>28</v>
      </c>
    </row>
    <row r="12" spans="1:1" x14ac:dyDescent="0.55000000000000004">
      <c r="A12" t="s">
        <v>29</v>
      </c>
    </row>
    <row r="13" spans="1:1" x14ac:dyDescent="0.55000000000000004">
      <c r="A13" t="s">
        <v>30</v>
      </c>
    </row>
    <row r="14" spans="1:1" x14ac:dyDescent="0.55000000000000004">
      <c r="A14" t="s">
        <v>31</v>
      </c>
    </row>
    <row r="15" spans="1:1" x14ac:dyDescent="0.55000000000000004">
      <c r="A15" t="s">
        <v>32</v>
      </c>
    </row>
    <row r="16" spans="1:1" x14ac:dyDescent="0.55000000000000004">
      <c r="A16" t="s">
        <v>33</v>
      </c>
    </row>
    <row r="18" spans="1:1" x14ac:dyDescent="0.55000000000000004">
      <c r="A18" s="2" t="s">
        <v>34</v>
      </c>
    </row>
    <row r="19" spans="1:1" x14ac:dyDescent="0.55000000000000004">
      <c r="A19" t="s">
        <v>35</v>
      </c>
    </row>
    <row r="20" spans="1:1" x14ac:dyDescent="0.55000000000000004">
      <c r="A20" t="s">
        <v>36</v>
      </c>
    </row>
    <row r="21" spans="1:1" x14ac:dyDescent="0.55000000000000004">
      <c r="A21" t="s">
        <v>37</v>
      </c>
    </row>
    <row r="23" spans="1:1" x14ac:dyDescent="0.55000000000000004">
      <c r="A23" s="2" t="s">
        <v>38</v>
      </c>
    </row>
    <row r="24" spans="1:1" x14ac:dyDescent="0.55000000000000004">
      <c r="A24" t="s">
        <v>39</v>
      </c>
    </row>
    <row r="25" spans="1:1" x14ac:dyDescent="0.55000000000000004">
      <c r="A25" t="s">
        <v>40</v>
      </c>
    </row>
    <row r="26" spans="1:1" x14ac:dyDescent="0.55000000000000004">
      <c r="A26" t="s">
        <v>41</v>
      </c>
    </row>
    <row r="28" spans="1:1" x14ac:dyDescent="0.55000000000000004">
      <c r="A28" s="2" t="s">
        <v>42</v>
      </c>
    </row>
    <row r="29" spans="1:1" x14ac:dyDescent="0.55000000000000004">
      <c r="A29" t="s">
        <v>43</v>
      </c>
    </row>
    <row r="30" spans="1:1" x14ac:dyDescent="0.55000000000000004">
      <c r="A30" t="s">
        <v>44</v>
      </c>
    </row>
    <row r="31" spans="1:1" x14ac:dyDescent="0.55000000000000004">
      <c r="A31" t="s">
        <v>45</v>
      </c>
    </row>
    <row r="32" spans="1:1" x14ac:dyDescent="0.55000000000000004">
      <c r="A32" t="s">
        <v>46</v>
      </c>
    </row>
    <row r="33" spans="1:1" x14ac:dyDescent="0.55000000000000004">
      <c r="A33" t="s">
        <v>47</v>
      </c>
    </row>
    <row r="34" spans="1:1" x14ac:dyDescent="0.55000000000000004">
      <c r="A34" t="s">
        <v>48</v>
      </c>
    </row>
    <row r="36" spans="1:1" x14ac:dyDescent="0.55000000000000004">
      <c r="A36" s="2" t="s">
        <v>49</v>
      </c>
    </row>
    <row r="37" spans="1:1" x14ac:dyDescent="0.55000000000000004">
      <c r="A37" t="s">
        <v>50</v>
      </c>
    </row>
    <row r="38" spans="1:1" x14ac:dyDescent="0.55000000000000004">
      <c r="A38" t="s">
        <v>51</v>
      </c>
    </row>
    <row r="39" spans="1:1" x14ac:dyDescent="0.55000000000000004">
      <c r="A39" t="s">
        <v>52</v>
      </c>
    </row>
    <row r="40" spans="1:1" x14ac:dyDescent="0.55000000000000004">
      <c r="A40" t="s">
        <v>53</v>
      </c>
    </row>
    <row r="41" spans="1:1" x14ac:dyDescent="0.55000000000000004">
      <c r="A41" t="s">
        <v>54</v>
      </c>
    </row>
    <row r="42" spans="1:1" x14ac:dyDescent="0.55000000000000004">
      <c r="A42" t="s">
        <v>55</v>
      </c>
    </row>
    <row r="43" spans="1:1" x14ac:dyDescent="0.55000000000000004">
      <c r="A43" t="s">
        <v>56</v>
      </c>
    </row>
    <row r="44" spans="1:1" x14ac:dyDescent="0.55000000000000004">
      <c r="A44" t="s">
        <v>57</v>
      </c>
    </row>
    <row r="45" spans="1:1" x14ac:dyDescent="0.55000000000000004">
      <c r="A45" t="s">
        <v>58</v>
      </c>
    </row>
    <row r="46" spans="1:1" x14ac:dyDescent="0.55000000000000004">
      <c r="A46" t="s">
        <v>59</v>
      </c>
    </row>
    <row r="47" spans="1:1" x14ac:dyDescent="0.55000000000000004">
      <c r="A47" t="s">
        <v>60</v>
      </c>
    </row>
    <row r="48" spans="1:1" x14ac:dyDescent="0.55000000000000004">
      <c r="A48" t="s">
        <v>61</v>
      </c>
    </row>
    <row r="50" spans="1:1" x14ac:dyDescent="0.55000000000000004">
      <c r="A50" s="2" t="s">
        <v>62</v>
      </c>
    </row>
    <row r="51" spans="1:1" x14ac:dyDescent="0.55000000000000004">
      <c r="A51" t="s">
        <v>63</v>
      </c>
    </row>
    <row r="52" spans="1:1" x14ac:dyDescent="0.55000000000000004">
      <c r="A52" t="s">
        <v>64</v>
      </c>
    </row>
    <row r="53" spans="1:1" x14ac:dyDescent="0.55000000000000004">
      <c r="A53" t="s">
        <v>65</v>
      </c>
    </row>
    <row r="54" spans="1:1" x14ac:dyDescent="0.55000000000000004">
      <c r="A54" t="s">
        <v>66</v>
      </c>
    </row>
    <row r="55" spans="1:1" x14ac:dyDescent="0.55000000000000004">
      <c r="A55" t="s">
        <v>67</v>
      </c>
    </row>
    <row r="57" spans="1:1" x14ac:dyDescent="0.55000000000000004">
      <c r="A57" s="2" t="s">
        <v>68</v>
      </c>
    </row>
    <row r="58" spans="1:1" x14ac:dyDescent="0.55000000000000004">
      <c r="A58" t="s">
        <v>69</v>
      </c>
    </row>
    <row r="59" spans="1:1" x14ac:dyDescent="0.55000000000000004">
      <c r="A59" t="s">
        <v>70</v>
      </c>
    </row>
    <row r="60" spans="1:1" x14ac:dyDescent="0.55000000000000004">
      <c r="A60" t="s">
        <v>71</v>
      </c>
    </row>
    <row r="61" spans="1:1" x14ac:dyDescent="0.55000000000000004">
      <c r="A61" t="s">
        <v>72</v>
      </c>
    </row>
    <row r="63" spans="1:1" x14ac:dyDescent="0.55000000000000004">
      <c r="A63" s="2" t="s">
        <v>73</v>
      </c>
    </row>
    <row r="64" spans="1:1" x14ac:dyDescent="0.55000000000000004">
      <c r="A64" t="s">
        <v>74</v>
      </c>
    </row>
    <row r="65" spans="1:1" x14ac:dyDescent="0.55000000000000004">
      <c r="A65" t="s">
        <v>75</v>
      </c>
    </row>
    <row r="66" spans="1:1" x14ac:dyDescent="0.55000000000000004">
      <c r="A66" t="s">
        <v>76</v>
      </c>
    </row>
    <row r="67" spans="1:1" x14ac:dyDescent="0.55000000000000004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workbookViewId="0">
      <selection activeCell="B22" sqref="B22"/>
    </sheetView>
  </sheetViews>
  <sheetFormatPr defaultRowHeight="14.4" x14ac:dyDescent="0.55000000000000004"/>
  <cols>
    <col min="1" max="1" width="35" customWidth="1"/>
    <col min="2" max="2" width="25" customWidth="1"/>
    <col min="3" max="3" width="10" customWidth="1"/>
    <col min="5" max="5" width="12.41796875" customWidth="1"/>
  </cols>
  <sheetData>
    <row r="1" spans="1:5" ht="18.75" customHeight="1" x14ac:dyDescent="0.7">
      <c r="A1" s="1" t="s">
        <v>78</v>
      </c>
    </row>
    <row r="3" spans="1:5" x14ac:dyDescent="0.55000000000000004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55000000000000004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55000000000000004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55000000000000004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55000000000000004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55000000000000004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55000000000000004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55000000000000004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55000000000000004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55000000000000004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55000000000000004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55000000000000004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55000000000000004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55000000000000004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55000000000000004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55000000000000004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55000000000000004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55000000000000004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55000000000000004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55000000000000004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55000000000000004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55000000000000004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55000000000000004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55000000000000004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55000000000000004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55000000000000004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55000000000000004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55000000000000004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55000000000000004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55000000000000004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55000000000000004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55000000000000004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55000000000000004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55000000000000004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55000000000000004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55000000000000004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55000000000000004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55000000000000004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55000000000000004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55000000000000004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55000000000000004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55000000000000004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55000000000000004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55000000000000004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55000000000000004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55000000000000004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55000000000000004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55000000000000004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55000000000000004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6" sqref="F6"/>
    </sheetView>
  </sheetViews>
  <sheetFormatPr defaultRowHeight="14.4" x14ac:dyDescent="0.55000000000000004"/>
  <cols>
    <col min="1" max="1" width="5" customWidth="1"/>
    <col min="2" max="3" width="30" customWidth="1"/>
  </cols>
  <sheetData>
    <row r="1" spans="1:3" ht="18.75" customHeight="1" x14ac:dyDescent="0.7">
      <c r="A1" s="1" t="s">
        <v>140</v>
      </c>
    </row>
    <row r="2" spans="1:3" x14ac:dyDescent="0.55000000000000004">
      <c r="A2" s="16" t="s">
        <v>141</v>
      </c>
    </row>
    <row r="4" spans="1:3" x14ac:dyDescent="0.55000000000000004">
      <c r="A4" s="3" t="s">
        <v>79</v>
      </c>
      <c r="B4" s="3" t="s">
        <v>142</v>
      </c>
      <c r="C4" s="3" t="s">
        <v>143</v>
      </c>
    </row>
    <row r="5" spans="1:3" x14ac:dyDescent="0.55000000000000004">
      <c r="A5" s="17">
        <v>1</v>
      </c>
      <c r="B5" s="59" t="s">
        <v>311</v>
      </c>
      <c r="C5" s="59" t="s">
        <v>16</v>
      </c>
    </row>
    <row r="6" spans="1:3" x14ac:dyDescent="0.55000000000000004">
      <c r="A6" s="17">
        <v>2</v>
      </c>
      <c r="B6" s="60" t="s">
        <v>312</v>
      </c>
      <c r="C6" s="60" t="s">
        <v>19</v>
      </c>
    </row>
    <row r="7" spans="1:3" x14ac:dyDescent="0.55000000000000004">
      <c r="A7" s="17">
        <v>3</v>
      </c>
      <c r="B7" s="59" t="s">
        <v>313</v>
      </c>
      <c r="C7" s="59" t="s">
        <v>354</v>
      </c>
    </row>
    <row r="8" spans="1:3" x14ac:dyDescent="0.55000000000000004">
      <c r="A8" s="17">
        <v>4</v>
      </c>
      <c r="B8" s="60" t="s">
        <v>314</v>
      </c>
      <c r="C8" s="60" t="s">
        <v>19</v>
      </c>
    </row>
    <row r="9" spans="1:3" x14ac:dyDescent="0.55000000000000004">
      <c r="A9" s="17">
        <v>5</v>
      </c>
      <c r="B9" s="59" t="s">
        <v>315</v>
      </c>
      <c r="C9" s="59" t="s">
        <v>16</v>
      </c>
    </row>
    <row r="10" spans="1:3" x14ac:dyDescent="0.55000000000000004">
      <c r="A10" s="17">
        <v>6</v>
      </c>
      <c r="B10" s="60" t="s">
        <v>316</v>
      </c>
      <c r="C10" s="60" t="s">
        <v>16</v>
      </c>
    </row>
    <row r="11" spans="1:3" x14ac:dyDescent="0.55000000000000004">
      <c r="A11" s="17">
        <v>7</v>
      </c>
      <c r="B11" s="59" t="s">
        <v>317</v>
      </c>
      <c r="C11" s="59" t="s">
        <v>144</v>
      </c>
    </row>
    <row r="12" spans="1:3" x14ac:dyDescent="0.55000000000000004">
      <c r="A12" s="17">
        <v>8</v>
      </c>
      <c r="B12" s="60" t="s">
        <v>318</v>
      </c>
      <c r="C12" s="60" t="s">
        <v>144</v>
      </c>
    </row>
    <row r="13" spans="1:3" x14ac:dyDescent="0.55000000000000004">
      <c r="A13" s="17">
        <v>9</v>
      </c>
      <c r="B13" s="59" t="s">
        <v>319</v>
      </c>
      <c r="C13" s="59" t="s">
        <v>355</v>
      </c>
    </row>
    <row r="14" spans="1:3" x14ac:dyDescent="0.55000000000000004">
      <c r="A14" s="17">
        <v>10</v>
      </c>
      <c r="B14" s="60" t="s">
        <v>320</v>
      </c>
      <c r="C14" s="60" t="s">
        <v>144</v>
      </c>
    </row>
    <row r="15" spans="1:3" x14ac:dyDescent="0.55000000000000004">
      <c r="A15" s="17">
        <v>11</v>
      </c>
      <c r="B15" s="59" t="s">
        <v>321</v>
      </c>
      <c r="C15" s="59" t="s">
        <v>19</v>
      </c>
    </row>
    <row r="16" spans="1:3" x14ac:dyDescent="0.55000000000000004">
      <c r="A16" s="17">
        <v>12</v>
      </c>
      <c r="B16" s="60" t="s">
        <v>322</v>
      </c>
      <c r="C16" s="60" t="s">
        <v>19</v>
      </c>
    </row>
    <row r="17" spans="1:3" x14ac:dyDescent="0.55000000000000004">
      <c r="A17" s="17">
        <v>13</v>
      </c>
      <c r="B17" s="59" t="s">
        <v>323</v>
      </c>
      <c r="C17" s="59" t="s">
        <v>145</v>
      </c>
    </row>
    <row r="18" spans="1:3" x14ac:dyDescent="0.55000000000000004">
      <c r="A18" s="17">
        <v>14</v>
      </c>
      <c r="B18" s="60" t="s">
        <v>324</v>
      </c>
      <c r="C18" s="60" t="s">
        <v>16</v>
      </c>
    </row>
    <row r="19" spans="1:3" x14ac:dyDescent="0.55000000000000004">
      <c r="A19" s="17">
        <v>15</v>
      </c>
      <c r="B19" s="59" t="s">
        <v>325</v>
      </c>
      <c r="C19" s="59" t="s">
        <v>145</v>
      </c>
    </row>
    <row r="20" spans="1:3" x14ac:dyDescent="0.55000000000000004">
      <c r="A20" s="17">
        <v>16</v>
      </c>
      <c r="B20" s="60" t="s">
        <v>326</v>
      </c>
      <c r="C20" s="60" t="s">
        <v>147</v>
      </c>
    </row>
    <row r="21" spans="1:3" x14ac:dyDescent="0.55000000000000004">
      <c r="A21" s="17">
        <v>17</v>
      </c>
      <c r="B21" s="59" t="s">
        <v>327</v>
      </c>
      <c r="C21" s="59" t="s">
        <v>16</v>
      </c>
    </row>
    <row r="22" spans="1:3" x14ac:dyDescent="0.55000000000000004">
      <c r="A22" s="17">
        <v>18</v>
      </c>
      <c r="B22" s="60" t="s">
        <v>328</v>
      </c>
      <c r="C22" s="60" t="s">
        <v>351</v>
      </c>
    </row>
    <row r="23" spans="1:3" x14ac:dyDescent="0.55000000000000004">
      <c r="A23" s="17">
        <v>19</v>
      </c>
      <c r="B23" s="59" t="s">
        <v>329</v>
      </c>
      <c r="C23" s="59" t="s">
        <v>16</v>
      </c>
    </row>
    <row r="24" spans="1:3" x14ac:dyDescent="0.55000000000000004">
      <c r="A24" s="17">
        <v>20</v>
      </c>
      <c r="B24" s="60" t="s">
        <v>330</v>
      </c>
      <c r="C24" s="60" t="s">
        <v>19</v>
      </c>
    </row>
    <row r="25" spans="1:3" x14ac:dyDescent="0.55000000000000004">
      <c r="A25" s="17">
        <v>21</v>
      </c>
      <c r="B25" s="59" t="s">
        <v>331</v>
      </c>
      <c r="C25" s="59" t="s">
        <v>145</v>
      </c>
    </row>
    <row r="26" spans="1:3" x14ac:dyDescent="0.55000000000000004">
      <c r="A26" s="17">
        <v>22</v>
      </c>
      <c r="B26" s="60" t="s">
        <v>332</v>
      </c>
      <c r="C26" s="60" t="s">
        <v>355</v>
      </c>
    </row>
    <row r="27" spans="1:3" x14ac:dyDescent="0.55000000000000004">
      <c r="A27" s="17">
        <v>23</v>
      </c>
      <c r="B27" s="59" t="s">
        <v>333</v>
      </c>
      <c r="C27" s="59" t="s">
        <v>352</v>
      </c>
    </row>
    <row r="28" spans="1:3" x14ac:dyDescent="0.55000000000000004">
      <c r="A28" s="17">
        <v>24</v>
      </c>
      <c r="B28" s="60" t="s">
        <v>334</v>
      </c>
      <c r="C28" s="60" t="s">
        <v>16</v>
      </c>
    </row>
    <row r="29" spans="1:3" x14ac:dyDescent="0.55000000000000004">
      <c r="A29" s="17">
        <v>25</v>
      </c>
      <c r="B29" s="59" t="s">
        <v>335</v>
      </c>
      <c r="C29" s="59" t="s">
        <v>16</v>
      </c>
    </row>
    <row r="30" spans="1:3" x14ac:dyDescent="0.55000000000000004">
      <c r="A30" s="17">
        <v>26</v>
      </c>
      <c r="B30" s="60" t="s">
        <v>336</v>
      </c>
      <c r="C30" s="60" t="s">
        <v>144</v>
      </c>
    </row>
    <row r="31" spans="1:3" x14ac:dyDescent="0.55000000000000004">
      <c r="A31" s="17">
        <v>27</v>
      </c>
      <c r="B31" s="59" t="s">
        <v>337</v>
      </c>
      <c r="C31" s="59" t="s">
        <v>16</v>
      </c>
    </row>
    <row r="32" spans="1:3" x14ac:dyDescent="0.55000000000000004">
      <c r="A32" s="17">
        <v>28</v>
      </c>
      <c r="B32" s="60" t="s">
        <v>338</v>
      </c>
      <c r="C32" s="60" t="s">
        <v>16</v>
      </c>
    </row>
    <row r="33" spans="1:3" x14ac:dyDescent="0.55000000000000004">
      <c r="A33" s="17">
        <v>29</v>
      </c>
      <c r="B33" s="59" t="s">
        <v>339</v>
      </c>
      <c r="C33" s="59" t="s">
        <v>144</v>
      </c>
    </row>
    <row r="34" spans="1:3" x14ac:dyDescent="0.55000000000000004">
      <c r="A34" s="17">
        <v>30</v>
      </c>
      <c r="B34" s="60" t="s">
        <v>340</v>
      </c>
      <c r="C34" s="60" t="s">
        <v>144</v>
      </c>
    </row>
    <row r="35" spans="1:3" x14ac:dyDescent="0.55000000000000004">
      <c r="A35" s="17">
        <v>31</v>
      </c>
      <c r="B35" s="59" t="s">
        <v>341</v>
      </c>
      <c r="C35" s="59" t="s">
        <v>353</v>
      </c>
    </row>
    <row r="36" spans="1:3" x14ac:dyDescent="0.55000000000000004">
      <c r="A36" s="17">
        <v>32</v>
      </c>
      <c r="B36" s="60" t="s">
        <v>342</v>
      </c>
      <c r="C36" s="60" t="s">
        <v>146</v>
      </c>
    </row>
    <row r="37" spans="1:3" x14ac:dyDescent="0.55000000000000004">
      <c r="A37" s="17">
        <v>33</v>
      </c>
      <c r="B37" s="59" t="s">
        <v>343</v>
      </c>
      <c r="C37" s="59" t="s">
        <v>146</v>
      </c>
    </row>
    <row r="38" spans="1:3" x14ac:dyDescent="0.55000000000000004">
      <c r="A38" s="17">
        <v>34</v>
      </c>
      <c r="B38" s="60" t="s">
        <v>344</v>
      </c>
      <c r="C38" s="60" t="s">
        <v>148</v>
      </c>
    </row>
    <row r="39" spans="1:3" x14ac:dyDescent="0.55000000000000004">
      <c r="A39" s="17">
        <v>35</v>
      </c>
      <c r="B39" s="59" t="s">
        <v>345</v>
      </c>
      <c r="C39" s="59" t="s">
        <v>16</v>
      </c>
    </row>
    <row r="40" spans="1:3" x14ac:dyDescent="0.55000000000000004">
      <c r="A40" s="17">
        <v>36</v>
      </c>
      <c r="B40" s="60" t="s">
        <v>346</v>
      </c>
      <c r="C40" s="60" t="s">
        <v>16</v>
      </c>
    </row>
    <row r="41" spans="1:3" x14ac:dyDescent="0.55000000000000004">
      <c r="A41" s="17">
        <v>37</v>
      </c>
      <c r="B41" s="59" t="s">
        <v>347</v>
      </c>
      <c r="C41" s="59" t="s">
        <v>144</v>
      </c>
    </row>
    <row r="42" spans="1:3" x14ac:dyDescent="0.55000000000000004">
      <c r="A42" s="17">
        <v>38</v>
      </c>
      <c r="B42" s="60" t="s">
        <v>348</v>
      </c>
      <c r="C42" s="60" t="s">
        <v>16</v>
      </c>
    </row>
    <row r="43" spans="1:3" x14ac:dyDescent="0.55000000000000004">
      <c r="A43" s="17">
        <v>39</v>
      </c>
      <c r="B43" s="59" t="s">
        <v>349</v>
      </c>
      <c r="C43" s="59" t="s">
        <v>16</v>
      </c>
    </row>
    <row r="44" spans="1:3" x14ac:dyDescent="0.55000000000000004">
      <c r="A44" s="17">
        <v>40</v>
      </c>
      <c r="B44" s="60" t="s">
        <v>350</v>
      </c>
      <c r="C44" s="60" t="s">
        <v>145</v>
      </c>
    </row>
    <row r="45" spans="1:3" x14ac:dyDescent="0.55000000000000004">
      <c r="A45" s="17">
        <v>41</v>
      </c>
      <c r="B45" s="59" t="s">
        <v>356</v>
      </c>
      <c r="C45" s="59" t="s">
        <v>16</v>
      </c>
    </row>
    <row r="46" spans="1:3" x14ac:dyDescent="0.55000000000000004">
      <c r="A46" s="17">
        <v>42</v>
      </c>
      <c r="B46" s="60" t="s">
        <v>357</v>
      </c>
      <c r="C46" s="59" t="s">
        <v>16</v>
      </c>
    </row>
    <row r="47" spans="1:3" x14ac:dyDescent="0.55000000000000004">
      <c r="A47" s="17">
        <v>43</v>
      </c>
      <c r="B47" s="59" t="s">
        <v>358</v>
      </c>
      <c r="C47" s="59" t="s">
        <v>16</v>
      </c>
    </row>
    <row r="48" spans="1:3" x14ac:dyDescent="0.55000000000000004">
      <c r="A48" s="17">
        <v>44</v>
      </c>
      <c r="B48" s="60" t="s">
        <v>359</v>
      </c>
      <c r="C48" s="59" t="s">
        <v>16</v>
      </c>
    </row>
    <row r="49" spans="1:3" x14ac:dyDescent="0.55000000000000004">
      <c r="A49" s="17">
        <v>45</v>
      </c>
      <c r="B49" s="59" t="s">
        <v>360</v>
      </c>
      <c r="C49" s="59" t="s">
        <v>16</v>
      </c>
    </row>
    <row r="50" spans="1:3" x14ac:dyDescent="0.55000000000000004">
      <c r="A50" s="17">
        <v>46</v>
      </c>
      <c r="B50" s="60" t="s">
        <v>361</v>
      </c>
      <c r="C50" s="59" t="s">
        <v>16</v>
      </c>
    </row>
    <row r="51" spans="1:3" x14ac:dyDescent="0.55000000000000004">
      <c r="A51" s="17">
        <v>47</v>
      </c>
      <c r="B51" s="59" t="s">
        <v>362</v>
      </c>
      <c r="C51" s="59" t="s">
        <v>16</v>
      </c>
    </row>
    <row r="52" spans="1:3" x14ac:dyDescent="0.55000000000000004">
      <c r="A52" s="17">
        <v>48</v>
      </c>
      <c r="B52" s="60" t="s">
        <v>363</v>
      </c>
      <c r="C52" s="59" t="s">
        <v>16</v>
      </c>
    </row>
    <row r="53" spans="1:3" x14ac:dyDescent="0.55000000000000004">
      <c r="A53" s="17">
        <v>49</v>
      </c>
    </row>
    <row r="54" spans="1:3" x14ac:dyDescent="0.55000000000000004">
      <c r="A54" s="17">
        <v>50</v>
      </c>
    </row>
    <row r="55" spans="1:3" x14ac:dyDescent="0.55000000000000004">
      <c r="A55" s="17">
        <v>51</v>
      </c>
    </row>
    <row r="56" spans="1:3" x14ac:dyDescent="0.55000000000000004">
      <c r="A56" s="17">
        <v>52</v>
      </c>
    </row>
    <row r="57" spans="1:3" x14ac:dyDescent="0.55000000000000004">
      <c r="A57" s="17">
        <v>53</v>
      </c>
    </row>
    <row r="58" spans="1:3" x14ac:dyDescent="0.55000000000000004">
      <c r="A58" s="17">
        <v>54</v>
      </c>
    </row>
    <row r="59" spans="1:3" x14ac:dyDescent="0.55000000000000004">
      <c r="A59" s="17">
        <v>55</v>
      </c>
    </row>
    <row r="60" spans="1:3" x14ac:dyDescent="0.55000000000000004">
      <c r="A60" s="17">
        <v>56</v>
      </c>
    </row>
    <row r="61" spans="1:3" x14ac:dyDescent="0.55000000000000004">
      <c r="A61" s="17">
        <v>57</v>
      </c>
    </row>
    <row r="62" spans="1:3" x14ac:dyDescent="0.55000000000000004">
      <c r="A62" s="17">
        <v>58</v>
      </c>
    </row>
    <row r="63" spans="1:3" x14ac:dyDescent="0.55000000000000004">
      <c r="A63" s="17">
        <v>59</v>
      </c>
    </row>
    <row r="64" spans="1:3" x14ac:dyDescent="0.55000000000000004">
      <c r="A64" s="17">
        <v>60</v>
      </c>
    </row>
    <row r="65" spans="1:1" x14ac:dyDescent="0.55000000000000004">
      <c r="A65" s="17">
        <v>61</v>
      </c>
    </row>
    <row r="66" spans="1:1" x14ac:dyDescent="0.55000000000000004">
      <c r="A66" s="17">
        <v>62</v>
      </c>
    </row>
    <row r="67" spans="1:1" x14ac:dyDescent="0.55000000000000004">
      <c r="A67" s="17">
        <v>63</v>
      </c>
    </row>
    <row r="68" spans="1:1" x14ac:dyDescent="0.55000000000000004">
      <c r="A68" s="17">
        <v>64</v>
      </c>
    </row>
    <row r="69" spans="1:1" x14ac:dyDescent="0.55000000000000004">
      <c r="A69" s="17">
        <v>65</v>
      </c>
    </row>
    <row r="70" spans="1:1" x14ac:dyDescent="0.55000000000000004">
      <c r="A70" s="17">
        <v>66</v>
      </c>
    </row>
    <row r="71" spans="1:1" x14ac:dyDescent="0.55000000000000004">
      <c r="A71" s="17">
        <v>67</v>
      </c>
    </row>
    <row r="72" spans="1:1" x14ac:dyDescent="0.55000000000000004">
      <c r="A72" s="17">
        <v>68</v>
      </c>
    </row>
    <row r="73" spans="1:1" x14ac:dyDescent="0.55000000000000004">
      <c r="A73" s="17">
        <v>69</v>
      </c>
    </row>
    <row r="74" spans="1:1" x14ac:dyDescent="0.55000000000000004">
      <c r="A74" s="17">
        <v>70</v>
      </c>
    </row>
    <row r="75" spans="1:1" x14ac:dyDescent="0.55000000000000004">
      <c r="A75" s="17">
        <v>71</v>
      </c>
    </row>
    <row r="76" spans="1:1" x14ac:dyDescent="0.55000000000000004">
      <c r="A76" s="17">
        <v>72</v>
      </c>
    </row>
    <row r="77" spans="1:1" x14ac:dyDescent="0.55000000000000004">
      <c r="A77" s="17">
        <v>73</v>
      </c>
    </row>
    <row r="78" spans="1:1" x14ac:dyDescent="0.55000000000000004">
      <c r="A78" s="17">
        <v>74</v>
      </c>
    </row>
    <row r="79" spans="1:1" x14ac:dyDescent="0.55000000000000004">
      <c r="A79" s="17">
        <v>75</v>
      </c>
    </row>
    <row r="80" spans="1:1" x14ac:dyDescent="0.55000000000000004">
      <c r="A80" s="17">
        <v>76</v>
      </c>
    </row>
    <row r="81" spans="1:1" x14ac:dyDescent="0.55000000000000004">
      <c r="A81" s="17">
        <v>77</v>
      </c>
    </row>
    <row r="82" spans="1:1" x14ac:dyDescent="0.55000000000000004">
      <c r="A82" s="17">
        <v>78</v>
      </c>
    </row>
    <row r="83" spans="1:1" x14ac:dyDescent="0.55000000000000004">
      <c r="A83" s="17">
        <v>79</v>
      </c>
    </row>
    <row r="84" spans="1:1" x14ac:dyDescent="0.55000000000000004">
      <c r="A84" s="17">
        <v>80</v>
      </c>
    </row>
    <row r="85" spans="1:1" x14ac:dyDescent="0.55000000000000004">
      <c r="A85" s="17">
        <v>81</v>
      </c>
    </row>
    <row r="86" spans="1:1" x14ac:dyDescent="0.55000000000000004">
      <c r="A86" s="17">
        <v>82</v>
      </c>
    </row>
    <row r="87" spans="1:1" x14ac:dyDescent="0.55000000000000004">
      <c r="A87" s="17">
        <v>83</v>
      </c>
    </row>
    <row r="88" spans="1:1" x14ac:dyDescent="0.55000000000000004">
      <c r="A88" s="17">
        <v>84</v>
      </c>
    </row>
    <row r="89" spans="1:1" x14ac:dyDescent="0.55000000000000004">
      <c r="A89" s="17">
        <v>85</v>
      </c>
    </row>
    <row r="90" spans="1:1" x14ac:dyDescent="0.55000000000000004">
      <c r="A90" s="17">
        <v>86</v>
      </c>
    </row>
    <row r="91" spans="1:1" x14ac:dyDescent="0.55000000000000004">
      <c r="A91" s="17">
        <v>87</v>
      </c>
    </row>
    <row r="92" spans="1:1" x14ac:dyDescent="0.55000000000000004">
      <c r="A92" s="17">
        <v>88</v>
      </c>
    </row>
    <row r="93" spans="1:1" x14ac:dyDescent="0.55000000000000004">
      <c r="A93" s="17">
        <v>89</v>
      </c>
    </row>
    <row r="94" spans="1:1" x14ac:dyDescent="0.55000000000000004">
      <c r="A94" s="17">
        <v>90</v>
      </c>
    </row>
    <row r="95" spans="1:1" x14ac:dyDescent="0.55000000000000004">
      <c r="A95" s="17">
        <v>91</v>
      </c>
    </row>
    <row r="96" spans="1:1" x14ac:dyDescent="0.55000000000000004">
      <c r="A96" s="17">
        <v>92</v>
      </c>
    </row>
    <row r="97" spans="1:1" x14ac:dyDescent="0.55000000000000004">
      <c r="A97" s="17">
        <v>93</v>
      </c>
    </row>
    <row r="98" spans="1:1" x14ac:dyDescent="0.55000000000000004">
      <c r="A98" s="17">
        <v>94</v>
      </c>
    </row>
    <row r="99" spans="1:1" x14ac:dyDescent="0.55000000000000004">
      <c r="A99" s="17">
        <v>95</v>
      </c>
    </row>
    <row r="100" spans="1:1" x14ac:dyDescent="0.55000000000000004">
      <c r="A100" s="17">
        <v>96</v>
      </c>
    </row>
    <row r="101" spans="1:1" x14ac:dyDescent="0.55000000000000004">
      <c r="A101" s="17">
        <v>97</v>
      </c>
    </row>
    <row r="102" spans="1:1" x14ac:dyDescent="0.55000000000000004">
      <c r="A102" s="17">
        <v>98</v>
      </c>
    </row>
    <row r="103" spans="1:1" x14ac:dyDescent="0.55000000000000004">
      <c r="A103" s="17">
        <v>99</v>
      </c>
    </row>
    <row r="104" spans="1:1" x14ac:dyDescent="0.55000000000000004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4.4" x14ac:dyDescent="0.55000000000000004"/>
  <cols>
    <col min="1" max="1" width="5" customWidth="1"/>
    <col min="2" max="3" width="30" customWidth="1"/>
    <col min="4" max="4" width="10" customWidth="1"/>
    <col min="5" max="5" width="14.578125" customWidth="1"/>
  </cols>
  <sheetData>
    <row r="1" spans="1:5" ht="18.75" customHeight="1" x14ac:dyDescent="0.7">
      <c r="A1" s="1" t="s">
        <v>149</v>
      </c>
    </row>
    <row r="2" spans="1:5" x14ac:dyDescent="0.55000000000000004">
      <c r="A2" s="16" t="s">
        <v>150</v>
      </c>
    </row>
    <row r="3" spans="1:5" x14ac:dyDescent="0.55000000000000004">
      <c r="A3" s="18" t="s">
        <v>151</v>
      </c>
    </row>
    <row r="5" spans="1:5" x14ac:dyDescent="0.55000000000000004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55000000000000004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55000000000000004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55000000000000004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55000000000000004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55000000000000004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55000000000000004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55000000000000004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55000000000000004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55000000000000004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55000000000000004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55000000000000004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55000000000000004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55000000000000004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55000000000000004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55000000000000004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55000000000000004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55000000000000004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55000000000000004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55000000000000004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55000000000000004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55000000000000004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55000000000000004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55000000000000004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55000000000000004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55000000000000004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55000000000000004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55000000000000004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55000000000000004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55000000000000004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55000000000000004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55000000000000004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55000000000000004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55000000000000004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55000000000000004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55000000000000004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55000000000000004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55000000000000004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55000000000000004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55000000000000004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55000000000000004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55000000000000004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55000000000000004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55000000000000004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55000000000000004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55000000000000004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55000000000000004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55000000000000004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55000000000000004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3" workbookViewId="0">
      <selection activeCell="D16" sqref="D16"/>
    </sheetView>
  </sheetViews>
  <sheetFormatPr defaultRowHeight="14.4" x14ac:dyDescent="0.55000000000000004"/>
  <cols>
    <col min="1" max="1" width="7" customWidth="1"/>
    <col min="2" max="3" width="8" customWidth="1"/>
    <col min="4" max="4" width="28" customWidth="1"/>
    <col min="5" max="5" width="11.839843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7">
      <c r="A1" s="1" t="s">
        <v>153</v>
      </c>
    </row>
    <row r="2" spans="1:11" x14ac:dyDescent="0.55000000000000004">
      <c r="A2" s="16" t="s">
        <v>154</v>
      </c>
    </row>
    <row r="4" spans="1:11" x14ac:dyDescent="0.55000000000000004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55000000000000004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55000000000000004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55000000000000004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55000000000000004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55000000000000004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55000000000000004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55000000000000004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55000000000000004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55000000000000004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55000000000000004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55000000000000004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55000000000000004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55000000000000004">
      <c r="A17" s="31">
        <v>13</v>
      </c>
      <c r="B17" s="31" t="s">
        <v>176</v>
      </c>
      <c r="C17" s="31" t="s">
        <v>177</v>
      </c>
      <c r="D17" s="32" t="s">
        <v>118</v>
      </c>
      <c r="E17" s="31"/>
      <c r="F17" s="31"/>
      <c r="G17" s="32" t="s">
        <v>119</v>
      </c>
      <c r="H17" s="31" t="str">
        <f t="shared" si="0"/>
        <v/>
      </c>
      <c r="I17" s="31" t="str">
        <f t="shared" si="1"/>
        <v/>
      </c>
      <c r="J17" s="31" t="str">
        <f t="shared" si="2"/>
        <v/>
      </c>
      <c r="K17" s="31" t="str">
        <f t="shared" si="3"/>
        <v/>
      </c>
    </row>
    <row r="18" spans="1:11" x14ac:dyDescent="0.55000000000000004">
      <c r="A18" s="31">
        <v>14</v>
      </c>
      <c r="B18" s="31" t="s">
        <v>176</v>
      </c>
      <c r="C18" s="31" t="s">
        <v>177</v>
      </c>
      <c r="D18" s="32" t="s">
        <v>115</v>
      </c>
      <c r="E18" s="31"/>
      <c r="F18" s="31"/>
      <c r="G18" s="32" t="s">
        <v>117</v>
      </c>
      <c r="H18" s="31" t="str">
        <f t="shared" si="0"/>
        <v/>
      </c>
      <c r="I18" s="31" t="str">
        <f t="shared" si="1"/>
        <v/>
      </c>
      <c r="J18" s="31" t="str">
        <f t="shared" si="2"/>
        <v/>
      </c>
      <c r="K18" s="31" t="str">
        <f t="shared" si="3"/>
        <v/>
      </c>
    </row>
    <row r="19" spans="1:11" x14ac:dyDescent="0.55000000000000004">
      <c r="A19" s="33">
        <v>15</v>
      </c>
      <c r="B19" s="33" t="s">
        <v>176</v>
      </c>
      <c r="C19" s="33" t="s">
        <v>178</v>
      </c>
      <c r="D19" s="34" t="s">
        <v>113</v>
      </c>
      <c r="E19" s="33"/>
      <c r="F19" s="33"/>
      <c r="G19" s="34" t="s">
        <v>114</v>
      </c>
      <c r="H19" s="33" t="str">
        <f t="shared" si="0"/>
        <v/>
      </c>
      <c r="I19" s="33" t="str">
        <f t="shared" si="1"/>
        <v/>
      </c>
      <c r="J19" s="33" t="str">
        <f t="shared" si="2"/>
        <v/>
      </c>
      <c r="K19" s="33" t="str">
        <f t="shared" si="3"/>
        <v/>
      </c>
    </row>
    <row r="20" spans="1:11" x14ac:dyDescent="0.55000000000000004">
      <c r="A20" s="33">
        <v>16</v>
      </c>
      <c r="B20" s="33" t="s">
        <v>176</v>
      </c>
      <c r="C20" s="33" t="s">
        <v>178</v>
      </c>
      <c r="D20" s="34" t="s">
        <v>110</v>
      </c>
      <c r="E20" s="33"/>
      <c r="F20" s="33"/>
      <c r="G20" s="34" t="s">
        <v>112</v>
      </c>
      <c r="H20" s="33" t="str">
        <f t="shared" si="0"/>
        <v/>
      </c>
      <c r="I20" s="33" t="str">
        <f t="shared" si="1"/>
        <v/>
      </c>
      <c r="J20" s="33" t="str">
        <f t="shared" si="2"/>
        <v/>
      </c>
      <c r="K20" s="33" t="str">
        <f t="shared" si="3"/>
        <v/>
      </c>
    </row>
    <row r="21" spans="1:11" x14ac:dyDescent="0.55000000000000004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55000000000000004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55000000000000004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55000000000000004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55000000000000004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55000000000000004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55000000000000004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55000000000000004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55000000000000004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55000000000000004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55000000000000004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55000000000000004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55000000000000004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55000000000000004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55000000000000004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55000000000000004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55000000000000004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55000000000000004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55000000000000004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55000000000000004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55000000000000004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55000000000000004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55000000000000004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55000000000000004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55000000000000004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55000000000000004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55000000000000004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55000000000000004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55000000000000004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55000000000000004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55000000000000004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55000000000000004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55000000000000004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55000000000000004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55000000000000004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55000000000000004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55000000000000004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55000000000000004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55000000000000004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55000000000000004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55000000000000004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55000000000000004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55000000000000004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55000000000000004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55000000000000004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55000000000000004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55000000000000004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55000000000000004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55000000000000004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55000000000000004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55000000000000004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55000000000000004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55000000000000004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55000000000000004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55000000000000004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55000000000000004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55000000000000004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55000000000000004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55000000000000004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55000000000000004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55000000000000004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55000000000000004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55000000000000004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55000000000000004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55000000000000004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55000000000000004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55000000000000004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55000000000000004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55000000000000004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55000000000000004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55000000000000004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55000000000000004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55000000000000004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55000000000000004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55000000000000004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55000000000000004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55000000000000004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55000000000000004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55000000000000004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55000000000000004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55000000000000004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55000000000000004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55000000000000004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55000000000000004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55000000000000004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55000000000000004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55000000000000004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55000000000000004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4.4" x14ac:dyDescent="0.55000000000000004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7">
      <c r="A1" s="1" t="s">
        <v>282</v>
      </c>
    </row>
    <row r="2" spans="1:11" x14ac:dyDescent="0.55000000000000004">
      <c r="A2" s="16" t="s">
        <v>283</v>
      </c>
    </row>
    <row r="4" spans="1:11" x14ac:dyDescent="0.55000000000000004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55000000000000004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55000000000000004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55000000000000004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55000000000000004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55000000000000004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55000000000000004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55000000000000004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55000000000000004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55000000000000004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55000000000000004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55000000000000004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55000000000000004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55000000000000004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55000000000000004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55000000000000004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55000000000000004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55000000000000004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55000000000000004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55000000000000004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1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1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1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55000000000000004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1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55000000000000004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55000000000000004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55000000000000004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1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5</v>
      </c>
      <c r="I27" s="29">
        <f>SUMPRODUCT((Fixtures!D$5:D$76=B27)*(Fixtures!F$5:F$76&lt;&gt;"")*Fixtures!F$5:F$76)+SUMPRODUCT((Fixtures!G$5:G$76=B27)*(Fixtures!E$5:E$76&lt;&gt;"")*Fixtures!E$5:E$76)</f>
        <v>1</v>
      </c>
      <c r="J27" s="29">
        <f t="shared" si="0"/>
        <v>4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55000000000000004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1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1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5</v>
      </c>
      <c r="J28" s="29">
        <f t="shared" si="0"/>
        <v>-4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55000000000000004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0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0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0</v>
      </c>
      <c r="I29" s="33">
        <f>SUMPRODUCT((Fixtures!D$5:D$76=B29)*(Fixtures!F$5:F$76&lt;&gt;"")*Fixtures!F$5:F$76)+SUMPRODUCT((Fixtures!G$5:G$76=B29)*(Fixtures!E$5:E$76&lt;&gt;"")*Fixtures!E$5:E$76)</f>
        <v>0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0</v>
      </c>
    </row>
    <row r="30" spans="1:11" x14ac:dyDescent="0.55000000000000004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0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0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0</v>
      </c>
      <c r="I30" s="33">
        <f>SUMPRODUCT((Fixtures!D$5:D$76=B30)*(Fixtures!F$5:F$76&lt;&gt;"")*Fixtures!F$5:F$76)+SUMPRODUCT((Fixtures!G$5:G$76=B30)*(Fixtures!E$5:E$76&lt;&gt;"")*Fixtures!E$5:E$76)</f>
        <v>0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0</v>
      </c>
    </row>
    <row r="31" spans="1:11" x14ac:dyDescent="0.55000000000000004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0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0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0</v>
      </c>
      <c r="I31" s="33">
        <f>SUMPRODUCT((Fixtures!D$5:D$76=B31)*(Fixtures!F$5:F$76&lt;&gt;"")*Fixtures!F$5:F$76)+SUMPRODUCT((Fixtures!G$5:G$76=B31)*(Fixtures!E$5:E$76&lt;&gt;"")*Fixtures!E$5:E$76)</f>
        <v>0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0</v>
      </c>
    </row>
    <row r="32" spans="1:11" x14ac:dyDescent="0.55000000000000004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0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0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0</v>
      </c>
      <c r="I32" s="33">
        <f>SUMPRODUCT((Fixtures!D$5:D$76=B32)*(Fixtures!F$5:F$76&lt;&gt;"")*Fixtures!F$5:F$76)+SUMPRODUCT((Fixtures!G$5:G$76=B32)*(Fixtures!E$5:E$76&lt;&gt;"")*Fixtures!E$5:E$76)</f>
        <v>0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0</v>
      </c>
    </row>
    <row r="33" spans="1:11" x14ac:dyDescent="0.55000000000000004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0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0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0</v>
      </c>
    </row>
    <row r="34" spans="1:11" x14ac:dyDescent="0.55000000000000004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0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0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0</v>
      </c>
    </row>
    <row r="35" spans="1:11" x14ac:dyDescent="0.55000000000000004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0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0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0</v>
      </c>
      <c r="I35" s="31">
        <f>SUMPRODUCT((Fixtures!D$5:D$76=B35)*(Fixtures!F$5:F$76&lt;&gt;"")*Fixtures!F$5:F$76)+SUMPRODUCT((Fixtures!G$5:G$76=B35)*(Fixtures!E$5:E$76&lt;&gt;"")*Fixtures!E$5:E$76)</f>
        <v>0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0</v>
      </c>
    </row>
    <row r="36" spans="1:11" x14ac:dyDescent="0.55000000000000004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0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0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0</v>
      </c>
      <c r="I36" s="31">
        <f>SUMPRODUCT((Fixtures!D$5:D$76=B36)*(Fixtures!F$5:F$76&lt;&gt;"")*Fixtures!F$5:F$76)+SUMPRODUCT((Fixtures!G$5:G$76=B36)*(Fixtures!E$5:E$76&lt;&gt;"")*Fixtures!E$5:E$76)</f>
        <v>0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0</v>
      </c>
    </row>
    <row r="37" spans="1:11" x14ac:dyDescent="0.55000000000000004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55000000000000004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55000000000000004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55000000000000004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55000000000000004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55000000000000004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55000000000000004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55000000000000004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55000000000000004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55000000000000004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55000000000000004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55000000000000004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55000000000000004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55000000000000004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55000000000000004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55000000000000004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/>
  </sheetViews>
  <sheetFormatPr defaultRowHeight="14.4" x14ac:dyDescent="0.55000000000000004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7">
      <c r="A1" s="1" t="s">
        <v>292</v>
      </c>
    </row>
    <row r="2" spans="1:14" x14ac:dyDescent="0.55000000000000004">
      <c r="A2" s="16" t="s">
        <v>293</v>
      </c>
    </row>
    <row r="4" spans="1:14" x14ac:dyDescent="0.55000000000000004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55000000000000004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55000000000000004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55000000000000004">
      <c r="A7" s="50">
        <v>3</v>
      </c>
      <c r="B7" s="51" t="str">
        <f>IFERROR(INDEX($H$5:$H$104,MATCH(3,$N$5:$N$104,0)),"")</f>
        <v>Kate Ingrey</v>
      </c>
      <c r="C7" s="51" t="str">
        <f>IFERROR(INDEX($I$5:$I$104,MATCH(3,$N$5:$N$104,0)),"")</f>
        <v>Ivory Coast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17</v>
      </c>
    </row>
    <row r="8" spans="1:14" x14ac:dyDescent="0.55000000000000004">
      <c r="A8" s="43">
        <v>4</v>
      </c>
      <c r="B8" s="44" t="str">
        <f>IFERROR(INDEX($H$5:$H$104,MATCH(4,$N$5:$N$104,0)),"")</f>
        <v>Cheari Lee</v>
      </c>
      <c r="C8" s="44" t="str">
        <f>IFERROR(INDEX($I$5:$I$104,MATCH(4,$N$5:$N$104,0)),"")</f>
        <v>Sweden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18</v>
      </c>
    </row>
    <row r="9" spans="1:14" x14ac:dyDescent="0.55000000000000004">
      <c r="A9" s="43">
        <v>5</v>
      </c>
      <c r="B9" s="44" t="str">
        <f>IFERROR(INDEX($H$5:$H$104,MATCH(5,$N$5:$N$104,0)),"")</f>
        <v>Connor Scicluna</v>
      </c>
      <c r="C9" s="44" t="str">
        <f>IFERROR(INDEX($I$5:$I$104,MATCH(5,$N$5:$N$104,0)),"")</f>
        <v>Mexico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9</v>
      </c>
    </row>
    <row r="10" spans="1:14" x14ac:dyDescent="0.55000000000000004">
      <c r="A10" s="43">
        <v>6</v>
      </c>
      <c r="B10" s="44" t="str">
        <f>IFERROR(INDEX($H$5:$H$104,MATCH(6,$N$5:$N$104,0)),"")</f>
        <v>Prasantha Nandulamatam</v>
      </c>
      <c r="C10" s="44" t="str">
        <f>IFERROR(INDEX($I$5:$I$104,MATCH(6,$N$5:$N$104,0)),"")</f>
        <v>Australia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19</v>
      </c>
    </row>
    <row r="11" spans="1:14" x14ac:dyDescent="0.55000000000000004">
      <c r="A11" s="43">
        <v>7</v>
      </c>
      <c r="B11" s="44" t="str">
        <f>IFERROR(INDEX($H$5:$H$104,MATCH(7,$N$5:$N$104,0)),"")</f>
        <v>Sean Farley</v>
      </c>
      <c r="C11" s="44" t="str">
        <f>IFERROR(INDEX($I$5:$I$104,MATCH(7,$N$5:$N$104,0)),"")</f>
        <v>United States</v>
      </c>
      <c r="D11" s="43">
        <f>IFERROR(INDEX($J$5:$J$104,MATCH(7,$N$5:$N$104,0)),"")</f>
        <v>3</v>
      </c>
      <c r="E11" s="43">
        <f>IFERROR(INDEX($K$5:$K$104,MATCH(7,$N$5:$N$104,0)),"")</f>
        <v>1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20</v>
      </c>
    </row>
    <row r="12" spans="1:14" x14ac:dyDescent="0.55000000000000004">
      <c r="A12" s="43">
        <v>8</v>
      </c>
      <c r="B12" s="44" t="str">
        <f>IFERROR(INDEX($H$5:$H$104,MATCH(8,$N$5:$N$104,0)),"")</f>
        <v>Kamini Gounder</v>
      </c>
      <c r="C12" s="44" t="str">
        <f>IFERROR(INDEX($I$5:$I$104,MATCH(8,$N$5:$N$104,0)),"")</f>
        <v>South Korea</v>
      </c>
      <c r="D12" s="43">
        <f>IFERROR(INDEX($J$5:$J$104,MATCH(8,$N$5:$N$104,0)),"")</f>
        <v>3</v>
      </c>
      <c r="E12" s="43">
        <f>IFERROR(INDEX($K$5:$K$104,MATCH(8,$N$5:$N$104,0)),"")</f>
        <v>1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1</v>
      </c>
      <c r="N12">
        <f>IF(H12="","",COUNTIFS($J$5:$J$104,"&gt;"&amp;J12,$H$5:$H$104,"&lt;&gt;")+COUNTIFS($J$5:$J12,J12,$H$5:$H12,"&lt;&gt;"))</f>
        <v>3</v>
      </c>
    </row>
    <row r="13" spans="1:14" x14ac:dyDescent="0.55000000000000004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21</v>
      </c>
    </row>
    <row r="14" spans="1:14" x14ac:dyDescent="0.55000000000000004">
      <c r="A14" s="43">
        <v>10</v>
      </c>
      <c r="B14" s="44" t="str">
        <f>IFERROR(INDEX($H$5:$H$104,MATCH(10,$N$5:$N$104,0)),"")</f>
        <v>Krystal Gerrie</v>
      </c>
      <c r="C14" s="44" t="str">
        <f>IFERROR(INDEX($I$5:$I$104,MATCH(10,$N$5:$N$104,0)),"")</f>
        <v>Morocco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10</v>
      </c>
    </row>
    <row r="15" spans="1:14" x14ac:dyDescent="0.55000000000000004">
      <c r="A15" s="43">
        <v>11</v>
      </c>
      <c r="B15" s="44" t="str">
        <f>IFERROR(INDEX($H$5:$H$104,MATCH(11,$N$5:$N$104,0)),"")</f>
        <v>Matthew Johnson</v>
      </c>
      <c r="C15" s="44" t="str">
        <f>IFERROR(INDEX($I$5:$I$104,MATCH(11,$N$5:$N$104,0)),"")</f>
        <v>Qatar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22</v>
      </c>
    </row>
    <row r="16" spans="1:14" x14ac:dyDescent="0.55000000000000004">
      <c r="A16" s="43">
        <v>12</v>
      </c>
      <c r="B16" s="44" t="str">
        <f>IFERROR(INDEX($H$5:$H$104,MATCH(12,$N$5:$N$104,0)),"")</f>
        <v>Kate Higgs</v>
      </c>
      <c r="C16" s="44" t="str">
        <f>IFERROR(INDEX($I$5:$I$104,MATCH(12,$N$5:$N$104,0)),"")</f>
        <v>Canada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11</v>
      </c>
    </row>
    <row r="17" spans="1:14" x14ac:dyDescent="0.55000000000000004">
      <c r="A17" s="43">
        <v>13</v>
      </c>
      <c r="B17" s="44" t="str">
        <f>IFERROR(INDEX($H$5:$H$104,MATCH(13,$N$5:$N$104,0)),"")</f>
        <v>Jackson Whiteside</v>
      </c>
      <c r="C17" s="44" t="str">
        <f>IFERROR(INDEX($I$5:$I$104,MATCH(13,$N$5:$N$104,0)),"")</f>
        <v>Japan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23</v>
      </c>
    </row>
    <row r="18" spans="1:14" x14ac:dyDescent="0.55000000000000004">
      <c r="A18" s="43">
        <v>14</v>
      </c>
      <c r="B18" s="44" t="str">
        <f>IFERROR(INDEX($H$5:$H$104,MATCH(14,$N$5:$N$104,0)),"")</f>
        <v>Beau Prendergast</v>
      </c>
      <c r="C18" s="44" t="str">
        <f>IFERROR(INDEX($I$5:$I$104,MATCH(14,$N$5:$N$104,0)),"")</f>
        <v>Brazil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-4</v>
      </c>
      <c r="N18">
        <f>IF(H18="","",COUNTIFS($J$5:$J$104,"&gt;"&amp;J18,$H$5:$H$104,"&lt;&gt;")+COUNTIFS($J$5:$J18,J18,$H$5:$H18,"&lt;&gt;"))</f>
        <v>24</v>
      </c>
    </row>
    <row r="19" spans="1:14" x14ac:dyDescent="0.55000000000000004">
      <c r="A19" s="43">
        <v>15</v>
      </c>
      <c r="B19" s="44" t="str">
        <f>IFERROR(INDEX($H$5:$H$104,MATCH(15,$N$5:$N$104,0)),"")</f>
        <v>Joel Reid</v>
      </c>
      <c r="C19" s="44" t="str">
        <f>IFERROR(INDEX($I$5:$I$104,MATCH(15,$N$5:$N$104,0)),"")</f>
        <v>Netherlands</v>
      </c>
      <c r="D19" s="43">
        <f>IFERROR(INDEX($J$5:$J$104,MATCH(15,$N$5:$N$104,0)),"")</f>
        <v>2</v>
      </c>
      <c r="E19" s="43">
        <f>IFERROR(INDEX($K$5:$K$104,MATCH(15,$N$5:$N$104,0)),"")</f>
        <v>0</v>
      </c>
      <c r="F19" s="43">
        <f>IFERROR(INDEX($L$5:$L$104,MATCH(15,$N$5:$N$104,0)),"")</f>
        <v>1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25</v>
      </c>
    </row>
    <row r="20" spans="1:14" x14ac:dyDescent="0.55000000000000004">
      <c r="A20" s="43">
        <v>16</v>
      </c>
      <c r="B20" s="44" t="str">
        <f>IFERROR(INDEX($H$5:$H$104,MATCH(16,$N$5:$N$104,0)),"")</f>
        <v>Phantom 3</v>
      </c>
      <c r="C20" s="44" t="str">
        <f>IFERROR(INDEX($I$5:$I$104,MATCH(16,$N$5:$N$104,0)),"")</f>
        <v>Bosnia and Herzegovina</v>
      </c>
      <c r="D20" s="43">
        <f>IFERROR(INDEX($J$5:$J$104,MATCH(16,$N$5:$N$104,0)),"")</f>
        <v>2</v>
      </c>
      <c r="E20" s="43">
        <f>IFERROR(INDEX($K$5:$K$104,MATCH(16,$N$5:$N$104,0)),"")</f>
        <v>0</v>
      </c>
      <c r="F20" s="43">
        <f>IFERROR(INDEX($L$5:$L$104,MATCH(16,$N$5:$N$104,0)),"")</f>
        <v>1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26</v>
      </c>
    </row>
    <row r="21" spans="1:14" x14ac:dyDescent="0.55000000000000004">
      <c r="A21" s="43">
        <v>17</v>
      </c>
      <c r="B21" s="44" t="str">
        <f>IFERROR(INDEX($H$5:$H$104,MATCH(17,$N$5:$N$104,0)),"")</f>
        <v>Tanya Olive</v>
      </c>
      <c r="C21" s="44" t="str">
        <f>IFERROR(INDEX($I$5:$I$104,MATCH(17,$N$5:$N$104,0)),"")</f>
        <v>England</v>
      </c>
      <c r="D21" s="43">
        <f>IFERROR(INDEX($J$5:$J$104,MATCH(17,$N$5:$N$104,0)),"")</f>
        <v>0</v>
      </c>
      <c r="E21" s="43">
        <f>IFERROR(INDEX($K$5:$K$104,MATCH(17,$N$5:$N$104,0)),"")</f>
        <v>0</v>
      </c>
      <c r="F21" s="43">
        <f>IFERROR(INDEX($L$5:$L$104,MATCH(17,$N$5:$N$104,0)),"")</f>
        <v>0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4</v>
      </c>
      <c r="N21">
        <f>IF(H21="","",COUNTIFS($J$5:$J$104,"&gt;"&amp;J21,$H$5:$H$104,"&lt;&gt;")+COUNTIFS($J$5:$J21,J21,$H$5:$H21,"&lt;&gt;"))</f>
        <v>4</v>
      </c>
    </row>
    <row r="22" spans="1:14" x14ac:dyDescent="0.55000000000000004">
      <c r="A22" s="43">
        <v>18</v>
      </c>
      <c r="B22" s="44" t="str">
        <f>IFERROR(INDEX($H$5:$H$104,MATCH(18,$N$5:$N$104,0)),"")</f>
        <v>Mitchell Wild</v>
      </c>
      <c r="C22" s="44" t="str">
        <f>IFERROR(INDEX($I$5:$I$104,MATCH(18,$N$5:$N$104,0)),"")</f>
        <v>Czechia</v>
      </c>
      <c r="D22" s="43">
        <f>IFERROR(INDEX($J$5:$J$104,MATCH(18,$N$5:$N$104,0)),"")</f>
        <v>0</v>
      </c>
      <c r="E22" s="43">
        <f>IFERROR(INDEX($K$5:$K$104,MATCH(18,$N$5:$N$104,0)),"")</f>
        <v>0</v>
      </c>
      <c r="F22" s="43">
        <f>IFERROR(INDEX($L$5:$L$104,MATCH(18,$N$5:$N$104,0)),"")</f>
        <v>0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0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0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27</v>
      </c>
    </row>
    <row r="23" spans="1:14" x14ac:dyDescent="0.55000000000000004">
      <c r="A23" s="43">
        <v>19</v>
      </c>
      <c r="B23" s="44" t="str">
        <f>IFERROR(INDEX($H$5:$H$104,MATCH(19,$N$5:$N$104,0)),"")</f>
        <v>Mark Keppie</v>
      </c>
      <c r="C23" s="44" t="str">
        <f>IFERROR(INDEX($I$5:$I$104,MATCH(19,$N$5:$N$104,0)),"")</f>
        <v>Panama</v>
      </c>
      <c r="D23" s="43">
        <f>IFERROR(INDEX($J$5:$J$104,MATCH(19,$N$5:$N$104,0)),"")</f>
        <v>0</v>
      </c>
      <c r="E23" s="43">
        <f>IFERROR(INDEX($K$5:$K$104,MATCH(19,$N$5:$N$104,0)),"")</f>
        <v>0</v>
      </c>
      <c r="F23" s="43">
        <f>IFERROR(INDEX($L$5:$L$104,MATCH(19,$N$5:$N$104,0)),"")</f>
        <v>0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28</v>
      </c>
    </row>
    <row r="24" spans="1:14" x14ac:dyDescent="0.55000000000000004">
      <c r="A24" s="43">
        <v>20</v>
      </c>
      <c r="B24" s="44" t="str">
        <f>IFERROR(INDEX($H$5:$H$104,MATCH(20,$N$5:$N$104,0)),"")</f>
        <v>Sarah Knowles</v>
      </c>
      <c r="C24" s="44" t="str">
        <f>IFERROR(INDEX($I$5:$I$104,MATCH(20,$N$5:$N$104,0)),"")</f>
        <v>Ecuador</v>
      </c>
      <c r="D24" s="43">
        <f>IFERROR(INDEX($J$5:$J$104,MATCH(20,$N$5:$N$104,0)),"")</f>
        <v>0</v>
      </c>
      <c r="E24" s="43">
        <f>IFERROR(INDEX($K$5:$K$104,MATCH(20,$N$5:$N$104,0)),"")</f>
        <v>0</v>
      </c>
      <c r="F24" s="43">
        <f>IFERROR(INDEX($L$5:$L$104,MATCH(20,$N$5:$N$104,0)),"")</f>
        <v>0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5</v>
      </c>
    </row>
    <row r="25" spans="1:14" x14ac:dyDescent="0.55000000000000004">
      <c r="A25" s="43">
        <v>21</v>
      </c>
      <c r="B25" s="44" t="str">
        <f>IFERROR(INDEX($H$5:$H$104,MATCH(21,$N$5:$N$104,0)),"")</f>
        <v>Mitchell Thompson</v>
      </c>
      <c r="C25" s="44" t="str">
        <f>IFERROR(INDEX($I$5:$I$104,MATCH(21,$N$5:$N$104,0)),"")</f>
        <v>Portugal</v>
      </c>
      <c r="D25" s="43">
        <f>IFERROR(INDEX($J$5:$J$104,MATCH(21,$N$5:$N$104,0)),"")</f>
        <v>0</v>
      </c>
      <c r="E25" s="43">
        <f>IFERROR(INDEX($K$5:$K$104,MATCH(21,$N$5:$N$104,0)),"")</f>
        <v>0</v>
      </c>
      <c r="F25" s="43">
        <f>IFERROR(INDEX($L$5:$L$104,MATCH(21,$N$5:$N$104,0)),"")</f>
        <v>0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0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0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29</v>
      </c>
    </row>
    <row r="26" spans="1:14" x14ac:dyDescent="0.55000000000000004">
      <c r="A26" s="43">
        <v>22</v>
      </c>
      <c r="B26" s="44" t="str">
        <f>IFERROR(INDEX($H$5:$H$104,MATCH(22,$N$5:$N$104,0)),"")</f>
        <v>Dionne Hunter</v>
      </c>
      <c r="C26" s="44" t="str">
        <f>IFERROR(INDEX($I$5:$I$104,MATCH(22,$N$5:$N$104,0)),"")</f>
        <v>Uzbekistan</v>
      </c>
      <c r="D26" s="43">
        <f>IFERROR(INDEX($J$5:$J$104,MATCH(22,$N$5:$N$104,0)),"")</f>
        <v>0</v>
      </c>
      <c r="E26" s="43">
        <f>IFERROR(INDEX($K$5:$K$104,MATCH(22,$N$5:$N$104,0)),"")</f>
        <v>0</v>
      </c>
      <c r="F26" s="43">
        <f>IFERROR(INDEX($L$5:$L$104,MATCH(22,$N$5:$N$104,0)),"")</f>
        <v>0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12</v>
      </c>
    </row>
    <row r="27" spans="1:14" x14ac:dyDescent="0.55000000000000004">
      <c r="A27" s="43">
        <v>23</v>
      </c>
      <c r="B27" s="44" t="str">
        <f>IFERROR(INDEX($H$5:$H$104,MATCH(23,$N$5:$N$104,0)),"")</f>
        <v>Michael Curran</v>
      </c>
      <c r="C27" s="44" t="str">
        <f>IFERROR(INDEX($I$5:$I$104,MATCH(23,$N$5:$N$104,0)),"")</f>
        <v>France</v>
      </c>
      <c r="D27" s="43">
        <f>IFERROR(INDEX($J$5:$J$104,MATCH(23,$N$5:$N$104,0)),"")</f>
        <v>0</v>
      </c>
      <c r="E27" s="43">
        <f>IFERROR(INDEX($K$5:$K$104,MATCH(23,$N$5:$N$104,0)),"")</f>
        <v>0</v>
      </c>
      <c r="F27" s="43">
        <f>IFERROR(INDEX($L$5:$L$104,MATCH(23,$N$5:$N$104,0)),"")</f>
        <v>0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13</v>
      </c>
    </row>
    <row r="28" spans="1:14" x14ac:dyDescent="0.55000000000000004">
      <c r="A28" s="43">
        <v>24</v>
      </c>
      <c r="B28" s="44" t="str">
        <f>IFERROR(INDEX($H$5:$H$104,MATCH(24,$N$5:$N$104,0)),"")</f>
        <v>Cyndie Bowen</v>
      </c>
      <c r="C28" s="44" t="str">
        <f>IFERROR(INDEX($I$5:$I$104,MATCH(24,$N$5:$N$104,0)),"")</f>
        <v>Tunisia</v>
      </c>
      <c r="D28" s="43">
        <f>IFERROR(INDEX($J$5:$J$104,MATCH(24,$N$5:$N$104,0)),"")</f>
        <v>0</v>
      </c>
      <c r="E28" s="43">
        <f>IFERROR(INDEX($K$5:$K$104,MATCH(24,$N$5:$N$104,0)),"")</f>
        <v>0</v>
      </c>
      <c r="F28" s="43">
        <f>IFERROR(INDEX($L$5:$L$104,MATCH(24,$N$5:$N$104,0)),"")</f>
        <v>0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0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0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30</v>
      </c>
    </row>
    <row r="29" spans="1:14" x14ac:dyDescent="0.55000000000000004">
      <c r="A29" s="43">
        <v>25</v>
      </c>
      <c r="B29" s="44" t="str">
        <f>IFERROR(INDEX($H$5:$H$104,MATCH(25,$N$5:$N$104,0)),"")</f>
        <v>Helen Pennock</v>
      </c>
      <c r="C29" s="44" t="str">
        <f>IFERROR(INDEX($I$5:$I$104,MATCH(25,$N$5:$N$104,0)),"")</f>
        <v>Algeria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0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0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31</v>
      </c>
    </row>
    <row r="30" spans="1:14" x14ac:dyDescent="0.55000000000000004">
      <c r="A30" s="43">
        <v>26</v>
      </c>
      <c r="B30" s="44" t="str">
        <f>IFERROR(INDEX($H$5:$H$104,MATCH(26,$N$5:$N$104,0)),"")</f>
        <v>Brad McLaren</v>
      </c>
      <c r="C30" s="44" t="str">
        <f>IFERROR(INDEX($I$5:$I$104,MATCH(26,$N$5:$N$104,0)),"")</f>
        <v>Colombia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6</v>
      </c>
    </row>
    <row r="31" spans="1:14" x14ac:dyDescent="0.55000000000000004">
      <c r="A31" s="43">
        <v>27</v>
      </c>
      <c r="B31" s="44" t="str">
        <f>IFERROR(INDEX($H$5:$H$104,MATCH(27,$N$5:$N$104,0)),"")</f>
        <v>Hugh Kuiper</v>
      </c>
      <c r="C31" s="44" t="str">
        <f>IFERROR(INDEX($I$5:$I$104,MATCH(27,$N$5:$N$104,0)),"")</f>
        <v>Uruguay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14</v>
      </c>
    </row>
    <row r="32" spans="1:14" x14ac:dyDescent="0.55000000000000004">
      <c r="A32" s="43">
        <v>28</v>
      </c>
      <c r="B32" s="44" t="str">
        <f>IFERROR(INDEX($H$5:$H$104,MATCH(28,$N$5:$N$104,0)),"")</f>
        <v>Theo Panagopoulos</v>
      </c>
      <c r="C32" s="44" t="str">
        <f>IFERROR(INDEX($I$5:$I$104,MATCH(28,$N$5:$N$104,0)),"")</f>
        <v>Austria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32</v>
      </c>
    </row>
    <row r="33" spans="1:14" x14ac:dyDescent="0.55000000000000004">
      <c r="A33" s="43">
        <v>29</v>
      </c>
      <c r="B33" s="44" t="str">
        <f>IFERROR(INDEX($H$5:$H$104,MATCH(29,$N$5:$N$104,0)),"")</f>
        <v>Owen Saliba</v>
      </c>
      <c r="C33" s="44" t="str">
        <f>IFERROR(INDEX($I$5:$I$104,MATCH(29,$N$5:$N$104,0)),"")</f>
        <v>Egypt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33</v>
      </c>
    </row>
    <row r="34" spans="1:14" x14ac:dyDescent="0.55000000000000004">
      <c r="A34" s="43">
        <v>30</v>
      </c>
      <c r="B34" s="44" t="str">
        <f>IFERROR(INDEX($H$5:$H$104,MATCH(30,$N$5:$N$104,0)),"")</f>
        <v>Lorraine Medina</v>
      </c>
      <c r="C34" s="44" t="str">
        <f>IFERROR(INDEX($I$5:$I$104,MATCH(30,$N$5:$N$104,0)),"")</f>
        <v>Belgium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34</v>
      </c>
    </row>
    <row r="35" spans="1:14" x14ac:dyDescent="0.55000000000000004">
      <c r="A35" s="43">
        <v>31</v>
      </c>
      <c r="B35" s="44" t="str">
        <f>IFERROR(INDEX($H$5:$H$104,MATCH(31,$N$5:$N$104,0)),"")</f>
        <v>Gerard Corboz</v>
      </c>
      <c r="C35" s="44" t="str">
        <f>IFERROR(INDEX($I$5:$I$104,MATCH(31,$N$5:$N$104,0)),"")</f>
        <v>Spain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35</v>
      </c>
    </row>
    <row r="36" spans="1:14" x14ac:dyDescent="0.55000000000000004">
      <c r="A36" s="43">
        <v>32</v>
      </c>
      <c r="B36" s="44" t="str">
        <f>IFERROR(INDEX($H$5:$H$104,MATCH(32,$N$5:$N$104,0)),"")</f>
        <v>Tamara Evans</v>
      </c>
      <c r="C36" s="44" t="str">
        <f>IFERROR(INDEX($I$5:$I$104,MATCH(32,$N$5:$N$104,0)),"")</f>
        <v>Norway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36</v>
      </c>
    </row>
    <row r="37" spans="1:14" x14ac:dyDescent="0.55000000000000004">
      <c r="A37" s="43">
        <v>33</v>
      </c>
      <c r="B37" s="44" t="str">
        <f>IFERROR(INDEX($H$5:$H$104,MATCH(33,$N$5:$N$104,0)),"")</f>
        <v>Shane Shookry</v>
      </c>
      <c r="C37" s="44" t="str">
        <f>IFERROR(INDEX($I$5:$I$104,MATCH(33,$N$5:$N$104,0)),"")</f>
        <v>South Africa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37</v>
      </c>
    </row>
    <row r="38" spans="1:14" x14ac:dyDescent="0.55000000000000004">
      <c r="A38" s="43">
        <v>34</v>
      </c>
      <c r="B38" s="44" t="str">
        <f>IFERROR(INDEX($H$5:$H$104,MATCH(34,$N$5:$N$104,0)),"")</f>
        <v>Jigar Vashi</v>
      </c>
      <c r="C38" s="44" t="str">
        <f>IFERROR(INDEX($I$5:$I$104,MATCH(34,$N$5:$N$104,0)),"")</f>
        <v>Senegal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38</v>
      </c>
    </row>
    <row r="39" spans="1:14" x14ac:dyDescent="0.55000000000000004">
      <c r="A39" s="43">
        <v>35</v>
      </c>
      <c r="B39" s="44" t="str">
        <f>IFERROR(INDEX($H$5:$H$104,MATCH(35,$N$5:$N$104,0)),"")</f>
        <v>Theresa McDonough</v>
      </c>
      <c r="C39" s="44" t="str">
        <f>IFERROR(INDEX($I$5:$I$104,MATCH(35,$N$5:$N$104,0)),"")</f>
        <v>Iraq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15</v>
      </c>
    </row>
    <row r="40" spans="1:14" x14ac:dyDescent="0.55000000000000004">
      <c r="A40" s="43">
        <v>36</v>
      </c>
      <c r="B40" s="44" t="str">
        <f>IFERROR(INDEX($H$5:$H$104,MATCH(36,$N$5:$N$104,0)),"")</f>
        <v>Joel Geysen</v>
      </c>
      <c r="C40" s="44" t="str">
        <f>IFERROR(INDEX($I$5:$I$104,MATCH(36,$N$5:$N$104,0)),"")</f>
        <v>Croatia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39</v>
      </c>
    </row>
    <row r="41" spans="1:14" x14ac:dyDescent="0.55000000000000004">
      <c r="A41" s="43">
        <v>37</v>
      </c>
      <c r="B41" s="44" t="str">
        <f>IFERROR(INDEX($H$5:$H$104,MATCH(37,$N$5:$N$104,0)),"")</f>
        <v>Michael van Eldik</v>
      </c>
      <c r="C41" s="44" t="str">
        <f>IFERROR(INDEX($I$5:$I$104,MATCH(37,$N$5:$N$104,0)),"")</f>
        <v>Argentina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0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0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40</v>
      </c>
    </row>
    <row r="42" spans="1:14" x14ac:dyDescent="0.55000000000000004">
      <c r="A42" s="43">
        <v>38</v>
      </c>
      <c r="B42" s="44" t="str">
        <f>IFERROR(INDEX($H$5:$H$104,MATCH(38,$N$5:$N$104,0)),"")</f>
        <v>Rodney Teggins</v>
      </c>
      <c r="C42" s="44" t="str">
        <f>IFERROR(INDEX($I$5:$I$104,MATCH(38,$N$5:$N$104,0)),"")</f>
        <v>Türkiye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41</v>
      </c>
    </row>
    <row r="43" spans="1:14" x14ac:dyDescent="0.55000000000000004">
      <c r="A43" s="43">
        <v>39</v>
      </c>
      <c r="B43" s="44" t="str">
        <f>IFERROR(INDEX($H$5:$H$104,MATCH(39,$N$5:$N$104,0)),"")</f>
        <v>Reg Poonan</v>
      </c>
      <c r="C43" s="44" t="str">
        <f>IFERROR(INDEX($I$5:$I$104,MATCH(39,$N$5:$N$104,0)),"")</f>
        <v>Paraguay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7</v>
      </c>
    </row>
    <row r="44" spans="1:14" x14ac:dyDescent="0.55000000000000004">
      <c r="A44" s="43">
        <v>40</v>
      </c>
      <c r="B44" s="44" t="str">
        <f>IFERROR(INDEX($H$5:$H$104,MATCH(40,$N$5:$N$104,0)),"")</f>
        <v>Andrew Kagis</v>
      </c>
      <c r="C44" s="44" t="str">
        <f>IFERROR(INDEX($I$5:$I$104,MATCH(40,$N$5:$N$104,0)),"")</f>
        <v>Iran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8</v>
      </c>
    </row>
    <row r="45" spans="1:14" x14ac:dyDescent="0.55000000000000004">
      <c r="A45" s="43">
        <v>41</v>
      </c>
      <c r="B45" s="44" t="str">
        <f>IFERROR(INDEX($H$5:$H$104,MATCH(41,$N$5:$N$104,0)),"")</f>
        <v>Suhail Janardhanan</v>
      </c>
      <c r="C45" s="44" t="str">
        <f>IFERROR(INDEX($I$5:$I$104,MATCH(41,$N$5:$N$104,0)),"")</f>
        <v>DR Congo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0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0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42</v>
      </c>
    </row>
    <row r="46" spans="1:14" x14ac:dyDescent="0.55000000000000004">
      <c r="A46" s="43">
        <v>42</v>
      </c>
      <c r="B46" s="44" t="str">
        <f>IFERROR(INDEX($H$5:$H$104,MATCH(42,$N$5:$N$104,0)),"")</f>
        <v>Phantom 1</v>
      </c>
      <c r="C46" s="44" t="str">
        <f>IFERROR(INDEX($I$5:$I$104,MATCH(42,$N$5:$N$104,0)),"")</f>
        <v>Saudi Arabia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43</v>
      </c>
    </row>
    <row r="47" spans="1:14" x14ac:dyDescent="0.55000000000000004">
      <c r="A47" s="43">
        <v>43</v>
      </c>
      <c r="B47" s="44" t="str">
        <f>IFERROR(INDEX($H$5:$H$104,MATCH(43,$N$5:$N$104,0)),"")</f>
        <v>Phantom 2</v>
      </c>
      <c r="C47" s="44" t="str">
        <f>IFERROR(INDEX($I$5:$I$104,MATCH(43,$N$5:$N$104,0)),"")</f>
        <v>Jordan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16</v>
      </c>
    </row>
    <row r="48" spans="1:14" x14ac:dyDescent="0.55000000000000004">
      <c r="A48" s="43">
        <v>44</v>
      </c>
      <c r="B48" s="44" t="str">
        <f>IFERROR(INDEX($H$5:$H$104,MATCH(44,$N$5:$N$104,0)),"")</f>
        <v>Phantom 4</v>
      </c>
      <c r="C48" s="44" t="str">
        <f>IFERROR(INDEX($I$5:$I$104,MATCH(44,$N$5:$N$104,0)),"")</f>
        <v>Cape Verde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0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0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44</v>
      </c>
    </row>
    <row r="49" spans="1:14" x14ac:dyDescent="0.55000000000000004">
      <c r="A49" s="43">
        <v>45</v>
      </c>
      <c r="B49" s="44" t="str">
        <f>IFERROR(INDEX($H$5:$H$104,MATCH(45,$N$5:$N$104,0)),"")</f>
        <v>Phantom 5</v>
      </c>
      <c r="C49" s="44" t="str">
        <f>IFERROR(INDEX($I$5:$I$104,MATCH(45,$N$5:$N$104,0)),"")</f>
        <v>Ghana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45</v>
      </c>
    </row>
    <row r="50" spans="1:14" x14ac:dyDescent="0.55000000000000004">
      <c r="A50" s="43">
        <v>46</v>
      </c>
      <c r="B50" s="44" t="str">
        <f>IFERROR(INDEX($H$5:$H$104,MATCH(46,$N$5:$N$104,0)),"")</f>
        <v>Phantom 6</v>
      </c>
      <c r="C50" s="44" t="str">
        <f>IFERROR(INDEX($I$5:$I$104,MATCH(46,$N$5:$N$104,0)),"")</f>
        <v>Curaçao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46</v>
      </c>
    </row>
    <row r="51" spans="1:14" x14ac:dyDescent="0.55000000000000004">
      <c r="A51" s="43">
        <v>47</v>
      </c>
      <c r="B51" s="44" t="str">
        <f>IFERROR(INDEX($H$5:$H$104,MATCH(47,$N$5:$N$104,0)),"")</f>
        <v>Phantom 7</v>
      </c>
      <c r="C51" s="44" t="str">
        <f>IFERROR(INDEX($I$5:$I$104,MATCH(47,$N$5:$N$104,0)),"")</f>
        <v>Haiti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47</v>
      </c>
    </row>
    <row r="52" spans="1:14" x14ac:dyDescent="0.55000000000000004">
      <c r="A52" s="43">
        <v>48</v>
      </c>
      <c r="B52" s="44" t="str">
        <f>IFERROR(INDEX($H$5:$H$104,MATCH(48,$N$5:$N$104,0)),"")</f>
        <v>Phantom 8</v>
      </c>
      <c r="C52" s="44" t="str">
        <f>IFERROR(INDEX($I$5:$I$104,MATCH(48,$N$5:$N$104,0)),"")</f>
        <v>New Zealand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0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0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48</v>
      </c>
    </row>
    <row r="53" spans="1:14" x14ac:dyDescent="0.55000000000000004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55000000000000004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55000000000000004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55000000000000004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55000000000000004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55000000000000004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55000000000000004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55000000000000004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55000000000000004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55000000000000004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55000000000000004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55000000000000004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55000000000000004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55000000000000004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55000000000000004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55000000000000004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55000000000000004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55000000000000004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55000000000000004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55000000000000004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55000000000000004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55000000000000004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55000000000000004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55000000000000004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55000000000000004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55000000000000004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55000000000000004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55000000000000004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55000000000000004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55000000000000004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55000000000000004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55000000000000004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55000000000000004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55000000000000004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55000000000000004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55000000000000004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55000000000000004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55000000000000004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55000000000000004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55000000000000004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55000000000000004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55000000000000004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55000000000000004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55000000000000004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55000000000000004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55000000000000004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55000000000000004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55000000000000004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55000000000000004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55000000000000004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55000000000000004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55000000000000004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30" workbookViewId="0">
      <selection activeCell="B44" sqref="B44"/>
    </sheetView>
  </sheetViews>
  <sheetFormatPr defaultRowHeight="14.4" x14ac:dyDescent="0.55000000000000004"/>
  <cols>
    <col min="1" max="1" width="8" customWidth="1"/>
    <col min="2" max="2" width="25" customWidth="1"/>
    <col min="3" max="3" width="23.4179687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7">
      <c r="A1" s="1" t="s">
        <v>0</v>
      </c>
    </row>
    <row r="2" spans="1:23" x14ac:dyDescent="0.55000000000000004">
      <c r="A2" s="16" t="s">
        <v>1</v>
      </c>
    </row>
    <row r="4" spans="1:23" x14ac:dyDescent="0.55000000000000004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55000000000000004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55000000000000004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4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55000000000000004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5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55000000000000004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Y. Ayari</v>
      </c>
      <c r="H8" s="51" t="str">
        <f>IFERROR(INDEX($Q$6:$Q$305,MATCH(3,$S$6:$S$305,0)),"")</f>
        <v>Sweden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6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55000000000000004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Julián Quiñones</v>
      </c>
      <c r="H9" s="44" t="str">
        <f>IFERROR(INDEX($Q$6:$Q$305,MATCH(4,$S$6:$S$305,0)),"")</f>
        <v>Mexico</v>
      </c>
      <c r="I9" s="43">
        <f>IFERROR(INDEX($R$6:$R$305,MATCH(4,$S$6:$S$305,0)),"")</f>
        <v>1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7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55000000000000004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Raúl Jiménez</v>
      </c>
      <c r="H10" s="44" t="str">
        <f>IFERROR(INDEX($Q$6:$Q$305,MATCH(5,$S$6:$S$305,0)),"")</f>
        <v>Mexico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8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55000000000000004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Oh Hyeon-Gyu</v>
      </c>
      <c r="H11" s="44" t="str">
        <f>IFERROR(INDEX($Q$6:$Q$305,MATCH(6,$S$6:$S$305,0)),"")</f>
        <v>South Korea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9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55000000000000004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Hwang In-Beom</v>
      </c>
      <c r="H12" s="44" t="str">
        <f>IFERROR(INDEX($Q$6:$Q$305,MATCH(7,$S$6:$S$305,0)),"")</f>
        <v>South Korea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10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55000000000000004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L. Krejčí</v>
      </c>
      <c r="H13" s="44" t="str">
        <f>IFERROR(INDEX($Q$6:$Q$305,MATCH(8,$S$6:$S$305,0)),"")</f>
        <v>Czechia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34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55000000000000004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C Larin</v>
      </c>
      <c r="H14" s="44" t="str">
        <f>IFERROR(INDEX($Q$6:$Q$305,MATCH(9,$S$6:$S$305,0)),"")</f>
        <v>Canada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55000000000000004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J Lukic</v>
      </c>
      <c r="H15" s="44" t="str">
        <f>IFERROR(INDEX($Q$6:$Q$305,MATCH(10,$S$6:$S$305,0)),"")</f>
        <v>Bosnia and Herzegovina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11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55000000000000004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G Reyna</v>
      </c>
      <c r="H16" s="44" t="str">
        <f>IFERROR(INDEX($Q$6:$Q$305,MATCH(11,$S$6:$S$305,0)),"")</f>
        <v>United States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12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55000000000000004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Mauricio</v>
      </c>
      <c r="H17" s="44" t="str">
        <f>IFERROR(INDEX($Q$6:$Q$305,MATCH(12,$S$6:$S$305,0)),"")</f>
        <v>Paraguay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13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55000000000000004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J McGinn</v>
      </c>
      <c r="H18" s="44" t="str">
        <f>IFERROR(INDEX($Q$6:$Q$305,MATCH(13,$S$6:$S$305,0)),"")</f>
        <v>Scotland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14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55000000000000004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N Irankunda</v>
      </c>
      <c r="H19" s="44" t="str">
        <f>IFERROR(INDEX($Q$6:$Q$305,MATCH(14,$S$6:$S$305,0)),"")</f>
        <v>Australia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15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55000000000000004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C Metcalfe</v>
      </c>
      <c r="H20" s="44" t="str">
        <f>IFERROR(INDEX($Q$6:$Q$305,MATCH(15,$S$6:$S$305,0)),"")</f>
        <v>Australia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16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55000000000000004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Vinícius Júnior</v>
      </c>
      <c r="H21" s="44" t="str">
        <f>IFERROR(INDEX($Q$6:$Q$305,MATCH(16,$S$6:$S$305,0)),"")</f>
        <v>Brazil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17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55000000000000004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Ismael Saibari </v>
      </c>
      <c r="H22" s="44" t="str">
        <f>IFERROR(INDEX($Q$6:$Q$305,MATCH(17,$S$6:$S$305,0)),"")</f>
        <v>Morocco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35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55000000000000004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Breel Embolo</v>
      </c>
      <c r="H23" s="44" t="str">
        <f>IFERROR(INDEX($Q$6:$Q$305,MATCH(18,$S$6:$S$305,0)),"")</f>
        <v>Switzerland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18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55000000000000004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Felix Nmecha</v>
      </c>
      <c r="H24" s="44" t="str">
        <f>IFERROR(INDEX($Q$6:$Q$305,MATCH(19,$S$6:$S$305,0)),"")</f>
        <v>Germany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19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55000000000000004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Nico Schlotterbeck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20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55000000000000004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Jamal Musiala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55000000000000004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Nathaniel Brown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21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55000000000000004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Deniz Undav</v>
      </c>
      <c r="H28" s="44" t="str">
        <f>IFERROR(INDEX($Q$6:$Q$305,MATCH(23,$S$6:$S$305,0)),"")</f>
        <v>Germany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22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55000000000000004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Livano Comenencia</v>
      </c>
      <c r="H29" s="44" t="str">
        <f>IFERROR(INDEX($Q$6:$Q$305,MATCH(24,$S$6:$S$305,0)),"")</f>
        <v>Curaçao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23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55000000000000004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V van Dijk</v>
      </c>
      <c r="H30" s="44" t="str">
        <f>IFERROR(INDEX($Q$6:$Q$305,MATCH(25,$S$6:$S$305,0)),"")</f>
        <v>Netherlands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24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55000000000000004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C Summerville</v>
      </c>
      <c r="H31" s="44" t="str">
        <f>IFERROR(INDEX($Q$6:$Q$305,MATCH(26,$S$6:$S$305,0)),"")</f>
        <v>Netherlands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25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55000000000000004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K Nakamura</v>
      </c>
      <c r="H32" s="44" t="str">
        <f>IFERROR(INDEX($Q$6:$Q$305,MATCH(27,$S$6:$S$305,0)),"")</f>
        <v>Japan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26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55000000000000004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D Kamada</v>
      </c>
      <c r="H33" s="44" t="str">
        <f>IFERROR(INDEX($Q$6:$Q$305,MATCH(28,$S$6:$S$305,0)),"")</f>
        <v>Japan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27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55000000000000004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A. Diallo</v>
      </c>
      <c r="H34" s="44" t="str">
        <f>IFERROR(INDEX($Q$6:$Q$305,MATCH(29,$S$6:$S$305,0)),"")</f>
        <v>Ivory Coast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28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55000000000000004">
      <c r="A35" s="43">
        <v>9</v>
      </c>
      <c r="B35" s="56" t="s">
        <v>393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V. Gyökeres</v>
      </c>
      <c r="H35" s="44" t="str">
        <f>IFERROR(INDEX($Q$6:$Q$305,MATCH(30,$S$6:$S$305,0)),"")</f>
        <v>Sweden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29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55000000000000004">
      <c r="A36" s="43">
        <v>12</v>
      </c>
      <c r="B36" s="56" t="s">
        <v>394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A. Isak</v>
      </c>
      <c r="H36" s="44" t="str">
        <f>IFERROR(INDEX($Q$6:$Q$305,MATCH(31,$S$6:$S$305,0)),"")</f>
        <v>Sweden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3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55000000000000004">
      <c r="A37" s="43">
        <v>12</v>
      </c>
      <c r="B37" s="56" t="s">
        <v>395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M. Svanberg</v>
      </c>
      <c r="H37" s="44" t="str">
        <f>IFERROR(INDEX($Q$6:$Q$305,MATCH(32,$S$6:$S$305,0)),"")</f>
        <v>Sweden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30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55000000000000004">
      <c r="A38" s="43">
        <v>12</v>
      </c>
      <c r="B38" s="56" t="s">
        <v>396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O. Rekik</v>
      </c>
      <c r="H38" s="44" t="str">
        <f>IFERROR(INDEX($Q$6:$Q$305,MATCH(33,$S$6:$S$305,0)),"")</f>
        <v>Tunisia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31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55000000000000004">
      <c r="A39" s="43">
        <v>12</v>
      </c>
      <c r="B39" s="56" t="s">
        <v>394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D Bobadilla OG</v>
      </c>
      <c r="H39" s="44" t="str">
        <f>IFERROR(INDEX($Q$6:$Q$305,MATCH(34,$S$6:$S$305,0)),"")</f>
        <v>United States</v>
      </c>
      <c r="I39" s="43">
        <f>IFERROR(INDEX($R$6:$R$305,MATCH(34,$S$6:$S$305,0)),"")</f>
        <v>0</v>
      </c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55000000000000004">
      <c r="A40" s="43">
        <v>12</v>
      </c>
      <c r="B40" s="56" t="s">
        <v>397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Miro Muheim OG</v>
      </c>
      <c r="H40" s="44" t="str">
        <f>IFERROR(INDEX($Q$6:$Q$305,MATCH(F40,$S$6:$S$305,0)),"")</f>
        <v>Qatar</v>
      </c>
      <c r="I40" s="43">
        <f>IFERROR(INDEX($R$6:$R$305,MATCH(F40,$S$6:$S$305,0)),"")</f>
        <v>0</v>
      </c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32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55000000000000004">
      <c r="A41" s="43">
        <v>12</v>
      </c>
      <c r="B41" s="56" t="s">
        <v>398</v>
      </c>
      <c r="C41" s="56" t="s">
        <v>109</v>
      </c>
      <c r="D41" s="43">
        <v>1</v>
      </c>
      <c r="F41" s="61">
        <v>36</v>
      </c>
      <c r="G41" s="44" t="str">
        <f t="shared" si="4"/>
        <v/>
      </c>
      <c r="H41" s="44" t="str">
        <f t="shared" ref="H41:H42" si="5">IFERROR(INDEX($Q$6:$Q$305,MATCH(F41,$S$6:$S$305,0)),"")</f>
        <v/>
      </c>
      <c r="I41" s="43" t="str">
        <f t="shared" ref="I41:I42" si="6">IFERROR(INDEX($R$6:$R$305,MATCH(F41,$S$6:$S$305,0)),"")</f>
        <v/>
      </c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33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55000000000000004">
      <c r="A42" s="43"/>
      <c r="B42" s="56"/>
      <c r="C42" s="56"/>
      <c r="D42" s="43"/>
      <c r="F42" s="61">
        <v>37</v>
      </c>
      <c r="G42" s="44" t="str">
        <f t="shared" si="4"/>
        <v/>
      </c>
      <c r="H42" s="44" t="str">
        <f t="shared" si="5"/>
        <v/>
      </c>
      <c r="I42" s="43" t="str">
        <f t="shared" si="6"/>
        <v/>
      </c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/>
      </c>
      <c r="Q42" t="str">
        <f t="shared" si="0"/>
        <v/>
      </c>
      <c r="R42" t="str">
        <f t="shared" si="1"/>
        <v/>
      </c>
      <c r="S42" t="str">
        <f>IF(P42="","",COUNTIFS($R$6:$R$305,"&gt;"&amp;R42,$P$6:$P$305,"&lt;&gt;")+COUNTIFS($R$6:$R42,"="&amp;R42,$P$6:$P42,"&lt;&gt;"))</f>
        <v/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55000000000000004">
      <c r="A43" s="43"/>
      <c r="B43" s="56"/>
      <c r="C43" s="56"/>
      <c r="D43" s="43"/>
      <c r="F43" s="61">
        <v>38</v>
      </c>
      <c r="G43" s="44" t="str">
        <f t="shared" si="4"/>
        <v/>
      </c>
      <c r="H43" s="44" t="str">
        <f t="shared" ref="H43:H44" si="7">IFERROR(INDEX($Q$6:$Q$305,MATCH(F43,$S$6:$S$305,0)),"")</f>
        <v/>
      </c>
      <c r="I43" s="43" t="str">
        <f t="shared" ref="I43:I44" si="8">IFERROR(INDEX($R$6:$R$305,MATCH(F43,$S$6:$S$305,0)),"")</f>
        <v/>
      </c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/>
      </c>
      <c r="Q43" t="str">
        <f t="shared" si="0"/>
        <v/>
      </c>
      <c r="R43" t="str">
        <f t="shared" si="1"/>
        <v/>
      </c>
      <c r="S43" t="str">
        <f>IF(P43="","",COUNTIFS($R$6:$R$305,"&gt;"&amp;R43,$P$6:$P$305,"&lt;&gt;")+COUNTIFS($R$6:$R43,"="&amp;R43,$P$6:$P43,"&lt;&gt;"))</f>
        <v/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55000000000000004">
      <c r="A44" s="43"/>
      <c r="B44" s="56"/>
      <c r="C44" s="56"/>
      <c r="D44" s="43"/>
      <c r="F44" s="61">
        <v>39</v>
      </c>
      <c r="G44" s="44" t="str">
        <f t="shared" si="4"/>
        <v/>
      </c>
      <c r="H44" s="44" t="str">
        <f t="shared" si="7"/>
        <v/>
      </c>
      <c r="I44" s="43" t="str">
        <f t="shared" si="8"/>
        <v/>
      </c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/>
      </c>
      <c r="Q44" t="str">
        <f t="shared" si="0"/>
        <v/>
      </c>
      <c r="R44" t="str">
        <f t="shared" si="1"/>
        <v/>
      </c>
      <c r="S44" t="str">
        <f>IF(P44="","",COUNTIFS($R$6:$R$305,"&gt;"&amp;R44,$P$6:$P$305,"&lt;&gt;")+COUNTIFS($R$6:$R44,"="&amp;R44,$P$6:$P44,"&lt;&gt;"))</f>
        <v/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55000000000000004">
      <c r="A45" s="43"/>
      <c r="B45" s="56"/>
      <c r="C45" s="56"/>
      <c r="D45" s="43"/>
      <c r="F45" s="61">
        <v>40</v>
      </c>
      <c r="G45" s="44" t="str">
        <f t="shared" si="4"/>
        <v/>
      </c>
      <c r="H45" s="44" t="str">
        <f t="shared" ref="H45:H108" si="9">IFERROR(INDEX($Q$6:$Q$305,MATCH(F45,$S$6:$S$305,0)),"")</f>
        <v/>
      </c>
      <c r="I45" s="43" t="str">
        <f t="shared" ref="I45:I108" si="10">IFERROR(INDEX($R$6:$R$305,MATCH(F45,$S$6:$S$305,0)),"")</f>
        <v/>
      </c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/>
      </c>
      <c r="Q45" t="str">
        <f t="shared" si="0"/>
        <v/>
      </c>
      <c r="R45" t="str">
        <f t="shared" si="1"/>
        <v/>
      </c>
      <c r="S45" t="str">
        <f>IF(P45="","",COUNTIFS($R$6:$R$305,"&gt;"&amp;R45,$P$6:$P$305,"&lt;&gt;")+COUNTIFS($R$6:$R45,"="&amp;R45,$P$6:$P45,"&lt;&gt;"))</f>
        <v/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55000000000000004">
      <c r="A46" s="43"/>
      <c r="B46" s="56"/>
      <c r="C46" s="56"/>
      <c r="D46" s="43"/>
      <c r="F46" s="61">
        <v>41</v>
      </c>
      <c r="G46" s="44" t="str">
        <f t="shared" si="4"/>
        <v/>
      </c>
      <c r="H46" s="44" t="str">
        <f t="shared" si="9"/>
        <v/>
      </c>
      <c r="I46" s="43" t="str">
        <f t="shared" si="10"/>
        <v/>
      </c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/>
      </c>
      <c r="Q46" t="str">
        <f t="shared" si="0"/>
        <v/>
      </c>
      <c r="R46" t="str">
        <f t="shared" si="1"/>
        <v/>
      </c>
      <c r="S46" t="str">
        <f>IF(P46="","",COUNTIFS($R$6:$R$305,"&gt;"&amp;R46,$P$6:$P$305,"&lt;&gt;")+COUNTIFS($R$6:$R46,"="&amp;R46,$P$6:$P46,"&lt;&gt;"))</f>
        <v/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55000000000000004">
      <c r="A47" s="43"/>
      <c r="B47" s="56"/>
      <c r="C47" s="56"/>
      <c r="D47" s="43"/>
      <c r="F47" s="61">
        <v>42</v>
      </c>
      <c r="G47" s="44" t="str">
        <f t="shared" si="4"/>
        <v/>
      </c>
      <c r="H47" s="44" t="str">
        <f t="shared" si="9"/>
        <v/>
      </c>
      <c r="I47" s="43" t="str">
        <f t="shared" si="10"/>
        <v/>
      </c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/>
      </c>
      <c r="Q47" t="str">
        <f t="shared" si="0"/>
        <v/>
      </c>
      <c r="R47" t="str">
        <f t="shared" si="1"/>
        <v/>
      </c>
      <c r="S47" t="str">
        <f>IF(P47="","",COUNTIFS($R$6:$R$305,"&gt;"&amp;R47,$P$6:$P$305,"&lt;&gt;")+COUNTIFS($R$6:$R47,"="&amp;R47,$P$6:$P47,"&lt;&gt;"))</f>
        <v/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55000000000000004">
      <c r="A48" s="43"/>
      <c r="B48" s="56"/>
      <c r="C48" s="56"/>
      <c r="D48" s="43"/>
      <c r="F48" s="61">
        <v>43</v>
      </c>
      <c r="G48" s="44" t="str">
        <f t="shared" si="4"/>
        <v/>
      </c>
      <c r="H48" s="44" t="str">
        <f t="shared" si="9"/>
        <v/>
      </c>
      <c r="I48" s="43" t="str">
        <f t="shared" si="10"/>
        <v/>
      </c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/>
      </c>
      <c r="Q48" t="str">
        <f t="shared" si="0"/>
        <v/>
      </c>
      <c r="R48" t="str">
        <f t="shared" si="1"/>
        <v/>
      </c>
      <c r="S48" t="str">
        <f>IF(P48="","",COUNTIFS($R$6:$R$305,"&gt;"&amp;R48,$P$6:$P$305,"&lt;&gt;")+COUNTIFS($R$6:$R48,"="&amp;R48,$P$6:$P48,"&lt;&gt;"))</f>
        <v/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55000000000000004">
      <c r="A49" s="43"/>
      <c r="B49" s="56"/>
      <c r="C49" s="56"/>
      <c r="D49" s="43"/>
      <c r="F49" s="61">
        <v>44</v>
      </c>
      <c r="G49" s="44" t="str">
        <f t="shared" si="4"/>
        <v/>
      </c>
      <c r="H49" s="44" t="str">
        <f t="shared" si="9"/>
        <v/>
      </c>
      <c r="I49" s="43" t="str">
        <f t="shared" si="10"/>
        <v/>
      </c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55000000000000004">
      <c r="A50" s="43"/>
      <c r="B50" s="56"/>
      <c r="C50" s="56"/>
      <c r="D50" s="43"/>
      <c r="F50" s="61">
        <v>45</v>
      </c>
      <c r="G50" s="44" t="str">
        <f t="shared" si="4"/>
        <v/>
      </c>
      <c r="H50" s="44" t="str">
        <f t="shared" si="9"/>
        <v/>
      </c>
      <c r="I50" s="43" t="str">
        <f t="shared" si="10"/>
        <v/>
      </c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55000000000000004">
      <c r="A51" s="43"/>
      <c r="B51" s="56"/>
      <c r="C51" s="56"/>
      <c r="D51" s="43"/>
      <c r="F51" s="61">
        <v>46</v>
      </c>
      <c r="G51" s="44" t="str">
        <f t="shared" si="4"/>
        <v/>
      </c>
      <c r="H51" s="44" t="str">
        <f t="shared" si="9"/>
        <v/>
      </c>
      <c r="I51" s="43" t="str">
        <f t="shared" si="10"/>
        <v/>
      </c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55000000000000004">
      <c r="A52" s="43"/>
      <c r="B52" s="56"/>
      <c r="C52" s="56"/>
      <c r="D52" s="43"/>
      <c r="F52" s="61">
        <v>47</v>
      </c>
      <c r="G52" s="44" t="str">
        <f t="shared" si="4"/>
        <v/>
      </c>
      <c r="H52" s="44" t="str">
        <f t="shared" si="9"/>
        <v/>
      </c>
      <c r="I52" s="43" t="str">
        <f t="shared" si="10"/>
        <v/>
      </c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55000000000000004">
      <c r="A53" s="43"/>
      <c r="B53" s="56"/>
      <c r="C53" s="56"/>
      <c r="D53" s="43"/>
      <c r="F53" s="61">
        <v>48</v>
      </c>
      <c r="G53" s="44" t="str">
        <f t="shared" si="4"/>
        <v/>
      </c>
      <c r="H53" s="44" t="str">
        <f t="shared" si="9"/>
        <v/>
      </c>
      <c r="I53" s="43" t="str">
        <f t="shared" si="10"/>
        <v/>
      </c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55000000000000004">
      <c r="A54" s="43"/>
      <c r="B54" s="56"/>
      <c r="C54" s="56"/>
      <c r="D54" s="43"/>
      <c r="F54" s="61">
        <v>49</v>
      </c>
      <c r="G54" s="44" t="str">
        <f t="shared" si="4"/>
        <v/>
      </c>
      <c r="H54" s="44" t="str">
        <f t="shared" si="9"/>
        <v/>
      </c>
      <c r="I54" s="43" t="str">
        <f t="shared" si="10"/>
        <v/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55000000000000004">
      <c r="A55" s="43"/>
      <c r="B55" s="56"/>
      <c r="C55" s="56"/>
      <c r="D55" s="43"/>
      <c r="F55" s="61">
        <v>50</v>
      </c>
      <c r="G55" s="44" t="str">
        <f t="shared" si="4"/>
        <v/>
      </c>
      <c r="H55" s="44" t="str">
        <f t="shared" si="9"/>
        <v/>
      </c>
      <c r="I55" s="43" t="str">
        <f t="shared" si="10"/>
        <v/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55000000000000004">
      <c r="A56" s="43"/>
      <c r="B56" s="56"/>
      <c r="C56" s="56"/>
      <c r="D56" s="43"/>
      <c r="F56" s="61">
        <v>51</v>
      </c>
      <c r="G56" s="44" t="str">
        <f t="shared" si="4"/>
        <v/>
      </c>
      <c r="H56" s="44" t="str">
        <f t="shared" si="9"/>
        <v/>
      </c>
      <c r="I56" s="43" t="str">
        <f t="shared" si="10"/>
        <v/>
      </c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55000000000000004">
      <c r="A57" s="43"/>
      <c r="B57" s="56"/>
      <c r="C57" s="56"/>
      <c r="D57" s="43"/>
      <c r="F57" s="61">
        <v>52</v>
      </c>
      <c r="G57" s="44" t="str">
        <f t="shared" si="4"/>
        <v/>
      </c>
      <c r="H57" s="44" t="str">
        <f t="shared" si="9"/>
        <v/>
      </c>
      <c r="I57" s="43" t="str">
        <f t="shared" si="10"/>
        <v/>
      </c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55000000000000004">
      <c r="A58" s="43"/>
      <c r="B58" s="56"/>
      <c r="C58" s="56"/>
      <c r="D58" s="43"/>
      <c r="F58" s="61">
        <v>53</v>
      </c>
      <c r="G58" s="44" t="str">
        <f t="shared" si="4"/>
        <v/>
      </c>
      <c r="H58" s="44" t="str">
        <f t="shared" si="9"/>
        <v/>
      </c>
      <c r="I58" s="43" t="str">
        <f t="shared" si="10"/>
        <v/>
      </c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55000000000000004">
      <c r="A59" s="43"/>
      <c r="B59" s="56"/>
      <c r="C59" s="56"/>
      <c r="D59" s="43"/>
      <c r="F59" s="61">
        <v>54</v>
      </c>
      <c r="G59" s="44" t="str">
        <f t="shared" si="4"/>
        <v/>
      </c>
      <c r="H59" s="44" t="str">
        <f t="shared" si="9"/>
        <v/>
      </c>
      <c r="I59" s="43" t="str">
        <f t="shared" si="10"/>
        <v/>
      </c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55000000000000004">
      <c r="A60" s="43"/>
      <c r="B60" s="56"/>
      <c r="C60" s="56"/>
      <c r="D60" s="43"/>
      <c r="F60" s="61">
        <v>55</v>
      </c>
      <c r="G60" s="44" t="str">
        <f t="shared" si="4"/>
        <v/>
      </c>
      <c r="H60" s="44" t="str">
        <f t="shared" si="9"/>
        <v/>
      </c>
      <c r="I60" s="43" t="str">
        <f t="shared" si="10"/>
        <v/>
      </c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55000000000000004">
      <c r="A61" s="43"/>
      <c r="B61" s="56"/>
      <c r="C61" s="56"/>
      <c r="D61" s="43"/>
      <c r="F61" s="61">
        <v>56</v>
      </c>
      <c r="G61" s="44" t="str">
        <f t="shared" si="4"/>
        <v/>
      </c>
      <c r="H61" s="44" t="str">
        <f t="shared" si="9"/>
        <v/>
      </c>
      <c r="I61" s="43" t="str">
        <f t="shared" si="10"/>
        <v/>
      </c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55000000000000004">
      <c r="A62" s="43"/>
      <c r="B62" s="56"/>
      <c r="C62" s="56"/>
      <c r="D62" s="43"/>
      <c r="F62" s="61">
        <v>57</v>
      </c>
      <c r="G62" s="44" t="str">
        <f t="shared" si="4"/>
        <v/>
      </c>
      <c r="H62" s="44" t="str">
        <f t="shared" si="9"/>
        <v/>
      </c>
      <c r="I62" s="43" t="str">
        <f t="shared" si="10"/>
        <v/>
      </c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55000000000000004">
      <c r="A63" s="43"/>
      <c r="B63" s="56"/>
      <c r="C63" s="56"/>
      <c r="D63" s="43"/>
      <c r="F63" s="61">
        <v>58</v>
      </c>
      <c r="G63" s="44" t="str">
        <f t="shared" si="4"/>
        <v/>
      </c>
      <c r="H63" s="44" t="str">
        <f t="shared" si="9"/>
        <v/>
      </c>
      <c r="I63" s="43" t="str">
        <f t="shared" si="10"/>
        <v/>
      </c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55000000000000004">
      <c r="A64" s="43"/>
      <c r="B64" s="56"/>
      <c r="C64" s="56"/>
      <c r="D64" s="43"/>
      <c r="F64" s="61">
        <v>59</v>
      </c>
      <c r="G64" s="44" t="str">
        <f t="shared" si="4"/>
        <v/>
      </c>
      <c r="H64" s="44" t="str">
        <f t="shared" si="9"/>
        <v/>
      </c>
      <c r="I64" s="43" t="str">
        <f t="shared" si="10"/>
        <v/>
      </c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55000000000000004">
      <c r="A65" s="43"/>
      <c r="B65" s="56"/>
      <c r="C65" s="56"/>
      <c r="D65" s="43"/>
      <c r="F65" s="61">
        <v>60</v>
      </c>
      <c r="G65" s="44" t="str">
        <f t="shared" si="4"/>
        <v/>
      </c>
      <c r="H65" s="44" t="str">
        <f t="shared" si="9"/>
        <v/>
      </c>
      <c r="I65" s="43" t="str">
        <f t="shared" si="10"/>
        <v/>
      </c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55000000000000004">
      <c r="A66" s="43"/>
      <c r="B66" s="56"/>
      <c r="C66" s="56"/>
      <c r="D66" s="43"/>
      <c r="F66" s="61">
        <v>61</v>
      </c>
      <c r="G66" s="44" t="str">
        <f t="shared" si="4"/>
        <v/>
      </c>
      <c r="H66" s="44" t="str">
        <f t="shared" si="9"/>
        <v/>
      </c>
      <c r="I66" s="43" t="str">
        <f t="shared" si="10"/>
        <v/>
      </c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55000000000000004">
      <c r="A67" s="43"/>
      <c r="B67" s="56"/>
      <c r="C67" s="56"/>
      <c r="D67" s="43"/>
      <c r="F67" s="61">
        <v>62</v>
      </c>
      <c r="G67" s="44" t="str">
        <f t="shared" si="4"/>
        <v/>
      </c>
      <c r="H67" s="44" t="str">
        <f t="shared" si="9"/>
        <v/>
      </c>
      <c r="I67" s="43" t="str">
        <f t="shared" si="10"/>
        <v/>
      </c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55000000000000004">
      <c r="A68" s="43"/>
      <c r="B68" s="56"/>
      <c r="C68" s="56"/>
      <c r="D68" s="43"/>
      <c r="F68" s="61">
        <v>63</v>
      </c>
      <c r="G68" s="44" t="str">
        <f t="shared" si="4"/>
        <v/>
      </c>
      <c r="H68" s="44" t="str">
        <f t="shared" si="9"/>
        <v/>
      </c>
      <c r="I68" s="43" t="str">
        <f t="shared" si="10"/>
        <v/>
      </c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55000000000000004">
      <c r="A69" s="43"/>
      <c r="B69" s="56"/>
      <c r="C69" s="56"/>
      <c r="D69" s="43"/>
      <c r="F69" s="61">
        <v>64</v>
      </c>
      <c r="G69" s="44" t="str">
        <f t="shared" si="4"/>
        <v/>
      </c>
      <c r="H69" s="44" t="str">
        <f t="shared" si="9"/>
        <v/>
      </c>
      <c r="I69" s="43" t="str">
        <f t="shared" si="10"/>
        <v/>
      </c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55000000000000004">
      <c r="A70" s="43"/>
      <c r="B70" s="56"/>
      <c r="C70" s="56"/>
      <c r="D70" s="43"/>
      <c r="F70" s="61">
        <v>65</v>
      </c>
      <c r="G70" s="44" t="str">
        <f t="shared" si="4"/>
        <v/>
      </c>
      <c r="H70" s="44" t="str">
        <f t="shared" si="9"/>
        <v/>
      </c>
      <c r="I70" s="43" t="str">
        <f t="shared" si="10"/>
        <v/>
      </c>
      <c r="P70" t="str">
        <f>IF(OR(B70="",COUNTIF($B$6:$B70,B70)&gt;1),"",B70)</f>
        <v/>
      </c>
      <c r="Q70" t="str">
        <f t="shared" ref="Q70:Q133" si="11">IF(P70="","",C70)</f>
        <v/>
      </c>
      <c r="R70" t="str">
        <f t="shared" ref="R70:R133" si="12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55000000000000004">
      <c r="A71" s="43"/>
      <c r="B71" s="56"/>
      <c r="C71" s="56"/>
      <c r="D71" s="43"/>
      <c r="F71" s="61">
        <v>66</v>
      </c>
      <c r="G71" s="44" t="str">
        <f t="shared" si="4"/>
        <v/>
      </c>
      <c r="H71" s="44" t="str">
        <f t="shared" si="9"/>
        <v/>
      </c>
      <c r="I71" s="43" t="str">
        <f t="shared" si="10"/>
        <v/>
      </c>
      <c r="P71" t="str">
        <f>IF(OR(B71="",COUNTIF($B$6:$B71,B71)&gt;1),"",B71)</f>
        <v/>
      </c>
      <c r="Q71" t="str">
        <f t="shared" si="11"/>
        <v/>
      </c>
      <c r="R71" t="str">
        <f t="shared" si="12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55000000000000004">
      <c r="A72" s="43"/>
      <c r="B72" s="56"/>
      <c r="C72" s="56"/>
      <c r="D72" s="43"/>
      <c r="F72" s="61">
        <v>67</v>
      </c>
      <c r="G72" s="44" t="str">
        <f t="shared" si="4"/>
        <v/>
      </c>
      <c r="H72" s="44" t="str">
        <f t="shared" si="9"/>
        <v/>
      </c>
      <c r="I72" s="43" t="str">
        <f t="shared" si="10"/>
        <v/>
      </c>
      <c r="P72" t="str">
        <f>IF(OR(B72="",COUNTIF($B$6:$B72,B72)&gt;1),"",B72)</f>
        <v/>
      </c>
      <c r="Q72" t="str">
        <f t="shared" si="11"/>
        <v/>
      </c>
      <c r="R72" t="str">
        <f t="shared" si="12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55000000000000004">
      <c r="A73" s="43"/>
      <c r="B73" s="56"/>
      <c r="C73" s="56"/>
      <c r="D73" s="43"/>
      <c r="F73" s="61">
        <v>68</v>
      </c>
      <c r="G73" s="44" t="str">
        <f t="shared" si="4"/>
        <v/>
      </c>
      <c r="H73" s="44" t="str">
        <f t="shared" si="9"/>
        <v/>
      </c>
      <c r="I73" s="43" t="str">
        <f t="shared" si="10"/>
        <v/>
      </c>
      <c r="P73" t="str">
        <f>IF(OR(B73="",COUNTIF($B$6:$B73,B73)&gt;1),"",B73)</f>
        <v/>
      </c>
      <c r="Q73" t="str">
        <f t="shared" si="11"/>
        <v/>
      </c>
      <c r="R73" t="str">
        <f t="shared" si="12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55000000000000004">
      <c r="A74" s="43"/>
      <c r="B74" s="56"/>
      <c r="C74" s="56"/>
      <c r="D74" s="43"/>
      <c r="F74" s="61">
        <v>69</v>
      </c>
      <c r="G74" s="44" t="str">
        <f t="shared" si="4"/>
        <v/>
      </c>
      <c r="H74" s="44" t="str">
        <f t="shared" si="9"/>
        <v/>
      </c>
      <c r="I74" s="43" t="str">
        <f t="shared" si="10"/>
        <v/>
      </c>
      <c r="P74" t="str">
        <f>IF(OR(B74="",COUNTIF($B$6:$B74,B74)&gt;1),"",B74)</f>
        <v/>
      </c>
      <c r="Q74" t="str">
        <f t="shared" si="11"/>
        <v/>
      </c>
      <c r="R74" t="str">
        <f t="shared" si="12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55000000000000004">
      <c r="A75" s="43"/>
      <c r="B75" s="56"/>
      <c r="C75" s="56"/>
      <c r="D75" s="43"/>
      <c r="F75" s="61">
        <v>70</v>
      </c>
      <c r="G75" s="44" t="str">
        <f t="shared" si="4"/>
        <v/>
      </c>
      <c r="H75" s="44" t="str">
        <f t="shared" si="9"/>
        <v/>
      </c>
      <c r="I75" s="43" t="str">
        <f t="shared" si="10"/>
        <v/>
      </c>
      <c r="P75" t="str">
        <f>IF(OR(B75="",COUNTIF($B$6:$B75,B75)&gt;1),"",B75)</f>
        <v/>
      </c>
      <c r="Q75" t="str">
        <f t="shared" si="11"/>
        <v/>
      </c>
      <c r="R75" t="str">
        <f t="shared" si="12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55000000000000004">
      <c r="A76" s="43"/>
      <c r="B76" s="56"/>
      <c r="C76" s="56"/>
      <c r="D76" s="43"/>
      <c r="F76" s="61">
        <v>71</v>
      </c>
      <c r="G76" s="44" t="str">
        <f t="shared" si="4"/>
        <v/>
      </c>
      <c r="H76" s="44" t="str">
        <f t="shared" si="9"/>
        <v/>
      </c>
      <c r="I76" s="43" t="str">
        <f t="shared" si="10"/>
        <v/>
      </c>
      <c r="P76" t="str">
        <f>IF(OR(B76="",COUNTIF($B$6:$B76,B76)&gt;1),"",B76)</f>
        <v/>
      </c>
      <c r="Q76" t="str">
        <f t="shared" si="11"/>
        <v/>
      </c>
      <c r="R76" t="str">
        <f t="shared" si="12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55000000000000004">
      <c r="A77" s="43"/>
      <c r="B77" s="56"/>
      <c r="C77" s="56"/>
      <c r="D77" s="43"/>
      <c r="F77" s="61">
        <v>72</v>
      </c>
      <c r="G77" s="44" t="str">
        <f t="shared" si="4"/>
        <v/>
      </c>
      <c r="H77" s="44" t="str">
        <f t="shared" si="9"/>
        <v/>
      </c>
      <c r="I77" s="43" t="str">
        <f t="shared" si="10"/>
        <v/>
      </c>
      <c r="P77" t="str">
        <f>IF(OR(B77="",COUNTIF($B$6:$B77,B77)&gt;1),"",B77)</f>
        <v/>
      </c>
      <c r="Q77" t="str">
        <f t="shared" si="11"/>
        <v/>
      </c>
      <c r="R77" t="str">
        <f t="shared" si="12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55000000000000004">
      <c r="A78" s="43"/>
      <c r="B78" s="56"/>
      <c r="C78" s="56"/>
      <c r="D78" s="43"/>
      <c r="F78" s="61">
        <v>73</v>
      </c>
      <c r="G78" s="44" t="str">
        <f t="shared" si="4"/>
        <v/>
      </c>
      <c r="H78" s="44" t="str">
        <f t="shared" si="9"/>
        <v/>
      </c>
      <c r="I78" s="43" t="str">
        <f t="shared" si="10"/>
        <v/>
      </c>
      <c r="P78" t="str">
        <f>IF(OR(B78="",COUNTIF($B$6:$B78,B78)&gt;1),"",B78)</f>
        <v/>
      </c>
      <c r="Q78" t="str">
        <f t="shared" si="11"/>
        <v/>
      </c>
      <c r="R78" t="str">
        <f t="shared" si="12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55000000000000004">
      <c r="A79" s="43"/>
      <c r="B79" s="56"/>
      <c r="C79" s="56"/>
      <c r="D79" s="43"/>
      <c r="F79" s="61">
        <v>74</v>
      </c>
      <c r="G79" s="44" t="str">
        <f t="shared" si="4"/>
        <v/>
      </c>
      <c r="H79" s="44" t="str">
        <f t="shared" si="9"/>
        <v/>
      </c>
      <c r="I79" s="43" t="str">
        <f t="shared" si="10"/>
        <v/>
      </c>
      <c r="P79" t="str">
        <f>IF(OR(B79="",COUNTIF($B$6:$B79,B79)&gt;1),"",B79)</f>
        <v/>
      </c>
      <c r="Q79" t="str">
        <f t="shared" si="11"/>
        <v/>
      </c>
      <c r="R79" t="str">
        <f t="shared" si="12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55000000000000004">
      <c r="A80" s="43"/>
      <c r="B80" s="56"/>
      <c r="C80" s="56"/>
      <c r="D80" s="43"/>
      <c r="F80" s="61">
        <v>75</v>
      </c>
      <c r="G80" s="44" t="str">
        <f t="shared" si="4"/>
        <v/>
      </c>
      <c r="H80" s="44" t="str">
        <f t="shared" si="9"/>
        <v/>
      </c>
      <c r="I80" s="43" t="str">
        <f t="shared" si="10"/>
        <v/>
      </c>
      <c r="P80" t="str">
        <f>IF(OR(B80="",COUNTIF($B$6:$B80,B80)&gt;1),"",B80)</f>
        <v/>
      </c>
      <c r="Q80" t="str">
        <f t="shared" si="11"/>
        <v/>
      </c>
      <c r="R80" t="str">
        <f t="shared" si="12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55000000000000004">
      <c r="A81" s="43"/>
      <c r="B81" s="56"/>
      <c r="C81" s="56"/>
      <c r="D81" s="43"/>
      <c r="F81" s="61">
        <v>76</v>
      </c>
      <c r="G81" s="44" t="str">
        <f t="shared" si="4"/>
        <v/>
      </c>
      <c r="H81" s="44" t="str">
        <f t="shared" si="9"/>
        <v/>
      </c>
      <c r="I81" s="43" t="str">
        <f t="shared" si="10"/>
        <v/>
      </c>
      <c r="P81" t="str">
        <f>IF(OR(B81="",COUNTIF($B$6:$B81,B81)&gt;1),"",B81)</f>
        <v/>
      </c>
      <c r="Q81" t="str">
        <f t="shared" si="11"/>
        <v/>
      </c>
      <c r="R81" t="str">
        <f t="shared" si="12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55000000000000004">
      <c r="A82" s="43"/>
      <c r="B82" s="56"/>
      <c r="C82" s="56"/>
      <c r="D82" s="43"/>
      <c r="F82" s="61">
        <v>77</v>
      </c>
      <c r="G82" s="44" t="str">
        <f t="shared" si="4"/>
        <v/>
      </c>
      <c r="H82" s="44" t="str">
        <f t="shared" si="9"/>
        <v/>
      </c>
      <c r="I82" s="43" t="str">
        <f t="shared" si="10"/>
        <v/>
      </c>
      <c r="P82" t="str">
        <f>IF(OR(B82="",COUNTIF($B$6:$B82,B82)&gt;1),"",B82)</f>
        <v/>
      </c>
      <c r="Q82" t="str">
        <f t="shared" si="11"/>
        <v/>
      </c>
      <c r="R82" t="str">
        <f t="shared" si="12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55000000000000004">
      <c r="A83" s="43"/>
      <c r="B83" s="56"/>
      <c r="C83" s="56"/>
      <c r="D83" s="43"/>
      <c r="F83" s="61">
        <v>78</v>
      </c>
      <c r="G83" s="44" t="str">
        <f t="shared" si="4"/>
        <v/>
      </c>
      <c r="H83" s="44" t="str">
        <f t="shared" si="9"/>
        <v/>
      </c>
      <c r="I83" s="43" t="str">
        <f t="shared" si="10"/>
        <v/>
      </c>
      <c r="P83" t="str">
        <f>IF(OR(B83="",COUNTIF($B$6:$B83,B83)&gt;1),"",B83)</f>
        <v/>
      </c>
      <c r="Q83" t="str">
        <f t="shared" si="11"/>
        <v/>
      </c>
      <c r="R83" t="str">
        <f t="shared" si="12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55000000000000004">
      <c r="A84" s="43"/>
      <c r="B84" s="56"/>
      <c r="C84" s="56"/>
      <c r="D84" s="43"/>
      <c r="F84" s="61">
        <v>79</v>
      </c>
      <c r="G84" s="44" t="str">
        <f t="shared" si="4"/>
        <v/>
      </c>
      <c r="H84" s="44" t="str">
        <f t="shared" si="9"/>
        <v/>
      </c>
      <c r="I84" s="43" t="str">
        <f t="shared" si="10"/>
        <v/>
      </c>
      <c r="P84" t="str">
        <f>IF(OR(B84="",COUNTIF($B$6:$B84,B84)&gt;1),"",B84)</f>
        <v/>
      </c>
      <c r="Q84" t="str">
        <f t="shared" si="11"/>
        <v/>
      </c>
      <c r="R84" t="str">
        <f t="shared" si="12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55000000000000004">
      <c r="A85" s="43"/>
      <c r="B85" s="56"/>
      <c r="C85" s="56"/>
      <c r="D85" s="43"/>
      <c r="F85" s="61">
        <v>80</v>
      </c>
      <c r="G85" s="44" t="str">
        <f t="shared" si="4"/>
        <v/>
      </c>
      <c r="H85" s="44" t="str">
        <f t="shared" si="9"/>
        <v/>
      </c>
      <c r="I85" s="43" t="str">
        <f t="shared" si="10"/>
        <v/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55000000000000004">
      <c r="A86" s="43"/>
      <c r="B86" s="56"/>
      <c r="C86" s="56"/>
      <c r="D86" s="43"/>
      <c r="F86" s="61">
        <v>81</v>
      </c>
      <c r="G86" s="44" t="str">
        <f t="shared" si="4"/>
        <v/>
      </c>
      <c r="H86" s="44" t="str">
        <f t="shared" si="9"/>
        <v/>
      </c>
      <c r="I86" s="43" t="str">
        <f t="shared" si="10"/>
        <v/>
      </c>
      <c r="P86" t="str">
        <f>IF(OR(B86="",COUNTIF($B$6:$B86,B86)&gt;1),"",B86)</f>
        <v/>
      </c>
      <c r="Q86" t="str">
        <f t="shared" si="11"/>
        <v/>
      </c>
      <c r="R86" t="str">
        <f t="shared" si="12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55000000000000004">
      <c r="A87" s="43"/>
      <c r="B87" s="56"/>
      <c r="C87" s="56"/>
      <c r="D87" s="43"/>
      <c r="F87" s="61">
        <v>82</v>
      </c>
      <c r="G87" s="44" t="str">
        <f t="shared" si="4"/>
        <v/>
      </c>
      <c r="H87" s="44" t="str">
        <f t="shared" si="9"/>
        <v/>
      </c>
      <c r="I87" s="43" t="str">
        <f t="shared" si="10"/>
        <v/>
      </c>
      <c r="P87" t="str">
        <f>IF(OR(B87="",COUNTIF($B$6:$B87,B87)&gt;1),"",B87)</f>
        <v/>
      </c>
      <c r="Q87" t="str">
        <f t="shared" si="11"/>
        <v/>
      </c>
      <c r="R87" t="str">
        <f t="shared" si="12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55000000000000004">
      <c r="A88" s="43"/>
      <c r="B88" s="56"/>
      <c r="C88" s="56"/>
      <c r="D88" s="43"/>
      <c r="F88" s="61">
        <v>83</v>
      </c>
      <c r="G88" s="44" t="str">
        <f t="shared" si="4"/>
        <v/>
      </c>
      <c r="H88" s="44" t="str">
        <f t="shared" si="9"/>
        <v/>
      </c>
      <c r="I88" s="43" t="str">
        <f t="shared" si="10"/>
        <v/>
      </c>
      <c r="P88" t="str">
        <f>IF(OR(B88="",COUNTIF($B$6:$B88,B88)&gt;1),"",B88)</f>
        <v/>
      </c>
      <c r="Q88" t="str">
        <f t="shared" si="11"/>
        <v/>
      </c>
      <c r="R88" t="str">
        <f t="shared" si="12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55000000000000004">
      <c r="A89" s="43"/>
      <c r="B89" s="56"/>
      <c r="C89" s="56"/>
      <c r="D89" s="43"/>
      <c r="F89" s="61">
        <v>84</v>
      </c>
      <c r="G89" s="44" t="str">
        <f t="shared" si="4"/>
        <v/>
      </c>
      <c r="H89" s="44" t="str">
        <f t="shared" si="9"/>
        <v/>
      </c>
      <c r="I89" s="43" t="str">
        <f t="shared" si="10"/>
        <v/>
      </c>
      <c r="P89" t="str">
        <f>IF(OR(B89="",COUNTIF($B$6:$B89,B89)&gt;1),"",B89)</f>
        <v/>
      </c>
      <c r="Q89" t="str">
        <f t="shared" si="11"/>
        <v/>
      </c>
      <c r="R89" t="str">
        <f t="shared" si="12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55000000000000004">
      <c r="A90" s="43"/>
      <c r="B90" s="56"/>
      <c r="C90" s="56"/>
      <c r="D90" s="43"/>
      <c r="F90" s="61">
        <v>85</v>
      </c>
      <c r="G90" s="44" t="str">
        <f t="shared" si="4"/>
        <v/>
      </c>
      <c r="H90" s="44" t="str">
        <f t="shared" si="9"/>
        <v/>
      </c>
      <c r="I90" s="43" t="str">
        <f t="shared" si="10"/>
        <v/>
      </c>
      <c r="P90" t="str">
        <f>IF(OR(B90="",COUNTIF($B$6:$B90,B90)&gt;1),"",B90)</f>
        <v/>
      </c>
      <c r="Q90" t="str">
        <f t="shared" si="11"/>
        <v/>
      </c>
      <c r="R90" t="str">
        <f t="shared" si="12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55000000000000004">
      <c r="A91" s="43"/>
      <c r="B91" s="56"/>
      <c r="C91" s="56"/>
      <c r="D91" s="43"/>
      <c r="F91" s="61">
        <v>86</v>
      </c>
      <c r="G91" s="44" t="str">
        <f t="shared" si="4"/>
        <v/>
      </c>
      <c r="H91" s="44" t="str">
        <f t="shared" si="9"/>
        <v/>
      </c>
      <c r="I91" s="43" t="str">
        <f t="shared" si="10"/>
        <v/>
      </c>
      <c r="P91" t="str">
        <f>IF(OR(B91="",COUNTIF($B$6:$B91,B91)&gt;1),"",B91)</f>
        <v/>
      </c>
      <c r="Q91" t="str">
        <f t="shared" si="11"/>
        <v/>
      </c>
      <c r="R91" t="str">
        <f t="shared" si="12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55000000000000004">
      <c r="A92" s="43"/>
      <c r="B92" s="56"/>
      <c r="C92" s="56"/>
      <c r="D92" s="43"/>
      <c r="F92" s="61">
        <v>87</v>
      </c>
      <c r="G92" s="44" t="str">
        <f t="shared" si="4"/>
        <v/>
      </c>
      <c r="H92" s="44" t="str">
        <f t="shared" si="9"/>
        <v/>
      </c>
      <c r="I92" s="43" t="str">
        <f t="shared" si="10"/>
        <v/>
      </c>
      <c r="P92" t="str">
        <f>IF(OR(B92="",COUNTIF($B$6:$B92,B92)&gt;1),"",B92)</f>
        <v/>
      </c>
      <c r="Q92" t="str">
        <f t="shared" si="11"/>
        <v/>
      </c>
      <c r="R92" t="str">
        <f t="shared" si="12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55000000000000004">
      <c r="A93" s="43"/>
      <c r="B93" s="56"/>
      <c r="C93" s="56"/>
      <c r="D93" s="43"/>
      <c r="F93" s="61">
        <v>88</v>
      </c>
      <c r="G93" s="44" t="str">
        <f t="shared" si="4"/>
        <v/>
      </c>
      <c r="H93" s="44" t="str">
        <f t="shared" si="9"/>
        <v/>
      </c>
      <c r="I93" s="43" t="str">
        <f t="shared" si="10"/>
        <v/>
      </c>
      <c r="P93" t="str">
        <f>IF(OR(B93="",COUNTIF($B$6:$B93,B93)&gt;1),"",B93)</f>
        <v/>
      </c>
      <c r="Q93" t="str">
        <f t="shared" si="11"/>
        <v/>
      </c>
      <c r="R93" t="str">
        <f t="shared" si="12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55000000000000004">
      <c r="A94" s="43"/>
      <c r="B94" s="56"/>
      <c r="C94" s="56"/>
      <c r="D94" s="43"/>
      <c r="F94" s="61">
        <v>89</v>
      </c>
      <c r="G94" s="44" t="str">
        <f t="shared" si="4"/>
        <v/>
      </c>
      <c r="H94" s="44" t="str">
        <f t="shared" si="9"/>
        <v/>
      </c>
      <c r="I94" s="43" t="str">
        <f t="shared" si="10"/>
        <v/>
      </c>
      <c r="P94" t="str">
        <f>IF(OR(B94="",COUNTIF($B$6:$B94,B94)&gt;1),"",B94)</f>
        <v/>
      </c>
      <c r="Q94" t="str">
        <f t="shared" si="11"/>
        <v/>
      </c>
      <c r="R94" t="str">
        <f t="shared" si="12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55000000000000004">
      <c r="A95" s="43"/>
      <c r="B95" s="56"/>
      <c r="C95" s="56"/>
      <c r="D95" s="43"/>
      <c r="F95" s="61">
        <v>90</v>
      </c>
      <c r="G95" s="44" t="str">
        <f t="shared" si="4"/>
        <v/>
      </c>
      <c r="H95" s="44" t="str">
        <f t="shared" si="9"/>
        <v/>
      </c>
      <c r="I95" s="43" t="str">
        <f t="shared" si="10"/>
        <v/>
      </c>
      <c r="P95" t="str">
        <f>IF(OR(B95="",COUNTIF($B$6:$B95,B95)&gt;1),"",B95)</f>
        <v/>
      </c>
      <c r="Q95" t="str">
        <f t="shared" si="11"/>
        <v/>
      </c>
      <c r="R95" t="str">
        <f t="shared" si="12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55000000000000004">
      <c r="A96" s="43"/>
      <c r="B96" s="56"/>
      <c r="C96" s="56"/>
      <c r="D96" s="43"/>
      <c r="F96" s="61">
        <v>91</v>
      </c>
      <c r="G96" s="44" t="str">
        <f t="shared" si="4"/>
        <v/>
      </c>
      <c r="H96" s="44" t="str">
        <f t="shared" si="9"/>
        <v/>
      </c>
      <c r="I96" s="43" t="str">
        <f t="shared" si="10"/>
        <v/>
      </c>
      <c r="P96" t="str">
        <f>IF(OR(B96="",COUNTIF($B$6:$B96,B96)&gt;1),"",B96)</f>
        <v/>
      </c>
      <c r="Q96" t="str">
        <f t="shared" si="11"/>
        <v/>
      </c>
      <c r="R96" t="str">
        <f t="shared" si="12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55000000000000004">
      <c r="A97" s="43"/>
      <c r="B97" s="56"/>
      <c r="C97" s="56"/>
      <c r="D97" s="43"/>
      <c r="F97" s="61">
        <v>92</v>
      </c>
      <c r="G97" s="44" t="str">
        <f t="shared" si="4"/>
        <v/>
      </c>
      <c r="H97" s="44" t="str">
        <f t="shared" si="9"/>
        <v/>
      </c>
      <c r="I97" s="43" t="str">
        <f t="shared" si="10"/>
        <v/>
      </c>
      <c r="P97" t="str">
        <f>IF(OR(B97="",COUNTIF($B$6:$B97,B97)&gt;1),"",B97)</f>
        <v/>
      </c>
      <c r="Q97" t="str">
        <f t="shared" si="11"/>
        <v/>
      </c>
      <c r="R97" t="str">
        <f t="shared" si="12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55000000000000004">
      <c r="A98" s="43"/>
      <c r="B98" s="56"/>
      <c r="C98" s="56"/>
      <c r="D98" s="43"/>
      <c r="F98" s="61">
        <v>93</v>
      </c>
      <c r="G98" s="44" t="str">
        <f t="shared" si="4"/>
        <v/>
      </c>
      <c r="H98" s="44" t="str">
        <f t="shared" si="9"/>
        <v/>
      </c>
      <c r="I98" s="43" t="str">
        <f t="shared" si="10"/>
        <v/>
      </c>
      <c r="P98" t="str">
        <f>IF(OR(B98="",COUNTIF($B$6:$B98,B98)&gt;1),"",B98)</f>
        <v/>
      </c>
      <c r="Q98" t="str">
        <f t="shared" si="11"/>
        <v/>
      </c>
      <c r="R98" t="str">
        <f t="shared" si="12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55000000000000004">
      <c r="A99" s="43"/>
      <c r="B99" s="56"/>
      <c r="C99" s="56"/>
      <c r="D99" s="43"/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/>
      </c>
      <c r="Q99" t="str">
        <f t="shared" si="11"/>
        <v/>
      </c>
      <c r="R99" t="str">
        <f t="shared" si="12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55000000000000004">
      <c r="A100" s="43"/>
      <c r="B100" s="56"/>
      <c r="C100" s="56"/>
      <c r="D100" s="43"/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/>
      </c>
      <c r="Q100" t="str">
        <f t="shared" si="11"/>
        <v/>
      </c>
      <c r="R100" t="str">
        <f t="shared" si="12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55000000000000004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55000000000000004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55000000000000004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55000000000000004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55000000000000004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55000000000000004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55000000000000004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55000000000000004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55000000000000004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55000000000000004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55000000000000004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55000000000000004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55000000000000004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55000000000000004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55000000000000004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55000000000000004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55000000000000004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55000000000000004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55000000000000004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55000000000000004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55000000000000004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55000000000000004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55000000000000004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55000000000000004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55000000000000004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55000000000000004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55000000000000004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55000000000000004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55000000000000004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55000000000000004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55000000000000004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55000000000000004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55000000000000004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55000000000000004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55000000000000004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55000000000000004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55000000000000004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55000000000000004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55000000000000004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55000000000000004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55000000000000004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55000000000000004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55000000000000004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55000000000000004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55000000000000004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55000000000000004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55000000000000004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55000000000000004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55000000000000004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55000000000000004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55000000000000004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55000000000000004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55000000000000004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55000000000000004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55000000000000004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55000000000000004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55000000000000004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55000000000000004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55000000000000004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55000000000000004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55000000000000004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55000000000000004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55000000000000004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55000000000000004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55000000000000004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55000000000000004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55000000000000004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55000000000000004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55000000000000004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55000000000000004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55000000000000004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55000000000000004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55000000000000004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55000000000000004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55000000000000004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55000000000000004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55000000000000004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55000000000000004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55000000000000004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55000000000000004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55000000000000004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55000000000000004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55000000000000004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55000000000000004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55000000000000004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55000000000000004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55000000000000004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55000000000000004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55000000000000004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55000000000000004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55000000000000004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55000000000000004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55000000000000004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55000000000000004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55000000000000004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55000000000000004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55000000000000004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55000000000000004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55000000000000004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55000000000000004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55000000000000004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55000000000000004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55000000000000004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55000000000000004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55000000000000004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55000000000000004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55000000000000004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55000000000000004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55000000000000004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55000000000000004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55000000000000004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55000000000000004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55000000000000004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55000000000000004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55000000000000004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55000000000000004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55000000000000004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55000000000000004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55000000000000004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55000000000000004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55000000000000004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55000000000000004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55000000000000004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55000000000000004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55000000000000004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55000000000000004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55000000000000004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55000000000000004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55000000000000004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55000000000000004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55000000000000004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55000000000000004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55000000000000004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55000000000000004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55000000000000004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55000000000000004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55000000000000004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55000000000000004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55000000000000004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55000000000000004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55000000000000004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55000000000000004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55000000000000004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55000000000000004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55000000000000004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55000000000000004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55000000000000004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55000000000000004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55000000000000004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55000000000000004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55000000000000004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55000000000000004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55000000000000004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55000000000000004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55000000000000004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55000000000000004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55000000000000004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55000000000000004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55000000000000004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55000000000000004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55000000000000004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55000000000000004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55000000000000004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55000000000000004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55000000000000004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55000000000000004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55000000000000004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55000000000000004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55000000000000004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55000000000000004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55000000000000004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55000000000000004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55000000000000004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55000000000000004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55000000000000004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55000000000000004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55000000000000004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55000000000000004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55000000000000004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55000000000000004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55000000000000004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55000000000000004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55000000000000004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55000000000000004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55000000000000004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55000000000000004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55000000000000004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55000000000000004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55000000000000004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55000000000000004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55000000000000004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55000000000000004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55000000000000004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55000000000000004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55000000000000004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55000000000000004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55000000000000004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55000000000000004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55000000000000004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55000000000000004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55000000000000004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55000000000000004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55000000000000004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55000000000000004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55000000000000004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4.4" x14ac:dyDescent="0.55000000000000004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7">
      <c r="A1" s="1" t="s">
        <v>298</v>
      </c>
    </row>
    <row r="2" spans="1:13" x14ac:dyDescent="0.55000000000000004">
      <c r="A2" s="16" t="s">
        <v>299</v>
      </c>
    </row>
    <row r="4" spans="1:13" x14ac:dyDescent="0.55000000000000004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55000000000000004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55000000000000004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55000000000000004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55000000000000004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55000000000000004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55000000000000004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55000000000000004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55000000000000004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55000000000000004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55000000000000004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55000000000000004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55000000000000004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55000000000000004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55000000000000004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55000000000000004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55000000000000004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55000000000000004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55000000000000004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55000000000000004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55000000000000004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55000000000000004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55000000000000004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55000000000000004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55000000000000004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55000000000000004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55000000000000004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55000000000000004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55000000000000004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55000000000000004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55000000000000004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55000000000000004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55000000000000004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55000000000000004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55000000000000004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55000000000000004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55000000000000004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55000000000000004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55000000000000004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55000000000000004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55000000000000004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55000000000000004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55000000000000004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55000000000000004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55000000000000004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55000000000000004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55000000000000004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55000000000000004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55000000000000004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55000000000000004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55000000000000004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55000000000000004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55000000000000004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55000000000000004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55000000000000004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55000000000000004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55000000000000004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55000000000000004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55000000000000004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55000000000000004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55000000000000004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55000000000000004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55000000000000004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55000000000000004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55000000000000004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55000000000000004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55000000000000004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55000000000000004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55000000000000004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55000000000000004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55000000000000004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55000000000000004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55000000000000004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55000000000000004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55000000000000004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55000000000000004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55000000000000004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55000000000000004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55000000000000004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55000000000000004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55000000000000004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55000000000000004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55000000000000004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55000000000000004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55000000000000004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55000000000000004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55000000000000004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55000000000000004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55000000000000004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55000000000000004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55000000000000004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55000000000000004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55000000000000004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55000000000000004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55000000000000004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55000000000000004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55000000000000004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55000000000000004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55000000000000004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55000000000000004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55000000000000004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2026-06-15T04:28:12Z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