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AA367372-F2CC-4DA3-B6AD-64449CD7038D}" xr6:coauthVersionLast="47" xr6:coauthVersionMax="47" xr10:uidLastSave="{00000000-0000-0000-0000-000000000000}"/>
  <bookViews>
    <workbookView xWindow="-96" yWindow="-96" windowWidth="23232" windowHeight="13872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E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G28" i="6" s="1"/>
  <c r="I62" i="5"/>
  <c r="H62" i="5"/>
  <c r="K61" i="5"/>
  <c r="J61" i="5"/>
  <c r="I61" i="5"/>
  <c r="H61" i="5"/>
  <c r="K60" i="5"/>
  <c r="J60" i="5"/>
  <c r="I60" i="5"/>
  <c r="H60" i="5"/>
  <c r="K59" i="5"/>
  <c r="E23" i="6" s="1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J16" i="5"/>
  <c r="I16" i="5"/>
  <c r="H16" i="5"/>
  <c r="K15" i="5"/>
  <c r="J15" i="5"/>
  <c r="F25" i="6" s="1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W105" i="8"/>
  <c r="V105" i="8"/>
  <c r="U105" i="8"/>
  <c r="T105" i="8"/>
  <c r="P105" i="8"/>
  <c r="S105" i="8" s="1"/>
  <c r="V104" i="8"/>
  <c r="U104" i="8"/>
  <c r="T104" i="8"/>
  <c r="W104" i="8" s="1"/>
  <c r="P104" i="8"/>
  <c r="S104" i="8" s="1"/>
  <c r="U103" i="8"/>
  <c r="V103" i="8" s="1"/>
  <c r="T103" i="8"/>
  <c r="W103" i="8" s="1"/>
  <c r="P103" i="8"/>
  <c r="R103" i="8" s="1"/>
  <c r="W102" i="8"/>
  <c r="U102" i="8"/>
  <c r="V102" i="8" s="1"/>
  <c r="T102" i="8"/>
  <c r="P102" i="8"/>
  <c r="U101" i="8"/>
  <c r="V101" i="8" s="1"/>
  <c r="T101" i="8"/>
  <c r="W101" i="8" s="1"/>
  <c r="P101" i="8"/>
  <c r="R101" i="8" s="1"/>
  <c r="W100" i="8"/>
  <c r="U100" i="8"/>
  <c r="V100" i="8" s="1"/>
  <c r="T100" i="8"/>
  <c r="P100" i="8"/>
  <c r="R100" i="8" s="1"/>
  <c r="V99" i="8"/>
  <c r="U99" i="8"/>
  <c r="T99" i="8"/>
  <c r="W99" i="8" s="1"/>
  <c r="P99" i="8"/>
  <c r="S99" i="8" s="1"/>
  <c r="W98" i="8"/>
  <c r="V98" i="8"/>
  <c r="U98" i="8"/>
  <c r="T98" i="8"/>
  <c r="P98" i="8"/>
  <c r="S98" i="8" s="1"/>
  <c r="W97" i="8"/>
  <c r="U97" i="8"/>
  <c r="V97" i="8" s="1"/>
  <c r="T97" i="8"/>
  <c r="P97" i="8"/>
  <c r="Q97" i="8" s="1"/>
  <c r="V96" i="8"/>
  <c r="U96" i="8"/>
  <c r="T96" i="8"/>
  <c r="W96" i="8" s="1"/>
  <c r="P96" i="8"/>
  <c r="S96" i="8" s="1"/>
  <c r="V95" i="8"/>
  <c r="U95" i="8"/>
  <c r="T95" i="8"/>
  <c r="W95" i="8" s="1"/>
  <c r="P95" i="8"/>
  <c r="R95" i="8" s="1"/>
  <c r="W94" i="8"/>
  <c r="V94" i="8"/>
  <c r="U94" i="8"/>
  <c r="T94" i="8"/>
  <c r="P94" i="8"/>
  <c r="R94" i="8" s="1"/>
  <c r="V93" i="8"/>
  <c r="U93" i="8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V87" i="8"/>
  <c r="U87" i="8"/>
  <c r="T87" i="8"/>
  <c r="P87" i="8"/>
  <c r="Q87" i="8" s="1"/>
  <c r="U86" i="8"/>
  <c r="V86" i="8" s="1"/>
  <c r="T86" i="8"/>
  <c r="W86" i="8" s="1"/>
  <c r="P86" i="8"/>
  <c r="S86" i="8" s="1"/>
  <c r="V85" i="8"/>
  <c r="U85" i="8"/>
  <c r="T85" i="8"/>
  <c r="W85" i="8" s="1"/>
  <c r="P85" i="8"/>
  <c r="S85" i="8" s="1"/>
  <c r="V84" i="8"/>
  <c r="U84" i="8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V79" i="8"/>
  <c r="U79" i="8"/>
  <c r="T79" i="8"/>
  <c r="W79" i="8" s="1"/>
  <c r="P79" i="8"/>
  <c r="V78" i="8"/>
  <c r="U78" i="8"/>
  <c r="T78" i="8"/>
  <c r="W78" i="8" s="1"/>
  <c r="P78" i="8"/>
  <c r="Q78" i="8" s="1"/>
  <c r="W77" i="8"/>
  <c r="U77" i="8"/>
  <c r="V77" i="8" s="1"/>
  <c r="T77" i="8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W73" i="8"/>
  <c r="V73" i="8"/>
  <c r="U73" i="8"/>
  <c r="T73" i="8"/>
  <c r="P73" i="8"/>
  <c r="W72" i="8"/>
  <c r="U72" i="8"/>
  <c r="V72" i="8" s="1"/>
  <c r="T72" i="8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V69" i="8"/>
  <c r="U69" i="8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V65" i="8"/>
  <c r="U65" i="8"/>
  <c r="T65" i="8"/>
  <c r="P65" i="8"/>
  <c r="R65" i="8" s="1"/>
  <c r="W64" i="8"/>
  <c r="V64" i="8"/>
  <c r="U64" i="8"/>
  <c r="T64" i="8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W59" i="8"/>
  <c r="V59" i="8"/>
  <c r="U59" i="8"/>
  <c r="T59" i="8"/>
  <c r="P59" i="8"/>
  <c r="U58" i="8"/>
  <c r="V58" i="8" s="1"/>
  <c r="T58" i="8"/>
  <c r="W58" i="8" s="1"/>
  <c r="P58" i="8"/>
  <c r="S58" i="8" s="1"/>
  <c r="W57" i="8"/>
  <c r="U57" i="8"/>
  <c r="V57" i="8" s="1"/>
  <c r="T57" i="8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V54" i="8"/>
  <c r="U54" i="8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V50" i="8"/>
  <c r="U50" i="8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S43" i="8" s="1"/>
  <c r="U42" i="8"/>
  <c r="V42" i="8" s="1"/>
  <c r="T42" i="8"/>
  <c r="P42" i="8"/>
  <c r="S42" i="8" s="1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J50" i="6" l="1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S37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S35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S41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S38" i="8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S34" i="8" s="1"/>
  <c r="R16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S36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S40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33" i="8" l="1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H10" i="8" l="1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<sst xmlns="http://schemas.openxmlformats.org/spreadsheetml/2006/main" count="1064" uniqueCount="393">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</sst>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4.4" x14ac:dyDescent="0.55000000000000004"/>
  <cols>
    <col min="1" max="1" width="80" customWidth="1"/>
  </cols>
  <sheetData>
    <row r="1" spans="1:1" ht="18.75" customHeight="1" x14ac:dyDescent="0.7">
      <c r="A1" s="1" t="s">
        <v>21</v>
      </c>
    </row>
    <row r="3" spans="1:1" x14ac:dyDescent="0.55000000000000004">
      <c r="A3" s="2" t="s">
        <v>22</v>
      </c>
    </row>
    <row r="5" spans="1:1" x14ac:dyDescent="0.55000000000000004">
      <c r="A5" s="2" t="s">
        <v>23</v>
      </c>
    </row>
    <row r="6" spans="1:1" x14ac:dyDescent="0.55000000000000004">
      <c r="A6" t="s">
        <v>24</v>
      </c>
    </row>
    <row r="7" spans="1:1" x14ac:dyDescent="0.55000000000000004">
      <c r="A7" t="s">
        <v>25</v>
      </c>
    </row>
    <row r="8" spans="1:1" x14ac:dyDescent="0.55000000000000004">
      <c r="A8" t="s">
        <v>26</v>
      </c>
    </row>
    <row r="10" spans="1:1" x14ac:dyDescent="0.55000000000000004">
      <c r="A10" s="2" t="s">
        <v>27</v>
      </c>
    </row>
    <row r="11" spans="1:1" x14ac:dyDescent="0.55000000000000004">
      <c r="A11" t="s">
        <v>28</v>
      </c>
    </row>
    <row r="12" spans="1:1" x14ac:dyDescent="0.55000000000000004">
      <c r="A12" t="s">
        <v>29</v>
      </c>
    </row>
    <row r="13" spans="1:1" x14ac:dyDescent="0.55000000000000004">
      <c r="A13" t="s">
        <v>30</v>
      </c>
    </row>
    <row r="14" spans="1:1" x14ac:dyDescent="0.55000000000000004">
      <c r="A14" t="s">
        <v>31</v>
      </c>
    </row>
    <row r="15" spans="1:1" x14ac:dyDescent="0.55000000000000004">
      <c r="A15" t="s">
        <v>32</v>
      </c>
    </row>
    <row r="16" spans="1:1" x14ac:dyDescent="0.55000000000000004">
      <c r="A16" t="s">
        <v>33</v>
      </c>
    </row>
    <row r="18" spans="1:1" x14ac:dyDescent="0.55000000000000004">
      <c r="A18" s="2" t="s">
        <v>34</v>
      </c>
    </row>
    <row r="19" spans="1:1" x14ac:dyDescent="0.55000000000000004">
      <c r="A19" t="s">
        <v>35</v>
      </c>
    </row>
    <row r="20" spans="1:1" x14ac:dyDescent="0.55000000000000004">
      <c r="A20" t="s">
        <v>36</v>
      </c>
    </row>
    <row r="21" spans="1:1" x14ac:dyDescent="0.55000000000000004">
      <c r="A21" t="s">
        <v>37</v>
      </c>
    </row>
    <row r="23" spans="1:1" x14ac:dyDescent="0.55000000000000004">
      <c r="A23" s="2" t="s">
        <v>38</v>
      </c>
    </row>
    <row r="24" spans="1:1" x14ac:dyDescent="0.55000000000000004">
      <c r="A24" t="s">
        <v>39</v>
      </c>
    </row>
    <row r="25" spans="1:1" x14ac:dyDescent="0.55000000000000004">
      <c r="A25" t="s">
        <v>40</v>
      </c>
    </row>
    <row r="26" spans="1:1" x14ac:dyDescent="0.55000000000000004">
      <c r="A26" t="s">
        <v>41</v>
      </c>
    </row>
    <row r="28" spans="1:1" x14ac:dyDescent="0.55000000000000004">
      <c r="A28" s="2" t="s">
        <v>42</v>
      </c>
    </row>
    <row r="29" spans="1:1" x14ac:dyDescent="0.55000000000000004">
      <c r="A29" t="s">
        <v>43</v>
      </c>
    </row>
    <row r="30" spans="1:1" x14ac:dyDescent="0.55000000000000004">
      <c r="A30" t="s">
        <v>44</v>
      </c>
    </row>
    <row r="31" spans="1:1" x14ac:dyDescent="0.55000000000000004">
      <c r="A31" t="s">
        <v>45</v>
      </c>
    </row>
    <row r="32" spans="1:1" x14ac:dyDescent="0.55000000000000004">
      <c r="A32" t="s">
        <v>46</v>
      </c>
    </row>
    <row r="33" spans="1:1" x14ac:dyDescent="0.55000000000000004">
      <c r="A33" t="s">
        <v>47</v>
      </c>
    </row>
    <row r="34" spans="1:1" x14ac:dyDescent="0.55000000000000004">
      <c r="A34" t="s">
        <v>48</v>
      </c>
    </row>
    <row r="36" spans="1:1" x14ac:dyDescent="0.55000000000000004">
      <c r="A36" s="2" t="s">
        <v>49</v>
      </c>
    </row>
    <row r="37" spans="1:1" x14ac:dyDescent="0.55000000000000004">
      <c r="A37" t="s">
        <v>50</v>
      </c>
    </row>
    <row r="38" spans="1:1" x14ac:dyDescent="0.55000000000000004">
      <c r="A38" t="s">
        <v>51</v>
      </c>
    </row>
    <row r="39" spans="1:1" x14ac:dyDescent="0.55000000000000004">
      <c r="A39" t="s">
        <v>52</v>
      </c>
    </row>
    <row r="40" spans="1:1" x14ac:dyDescent="0.55000000000000004">
      <c r="A40" t="s">
        <v>53</v>
      </c>
    </row>
    <row r="41" spans="1:1" x14ac:dyDescent="0.55000000000000004">
      <c r="A41" t="s">
        <v>54</v>
      </c>
    </row>
    <row r="42" spans="1:1" x14ac:dyDescent="0.55000000000000004">
      <c r="A42" t="s">
        <v>55</v>
      </c>
    </row>
    <row r="43" spans="1:1" x14ac:dyDescent="0.55000000000000004">
      <c r="A43" t="s">
        <v>56</v>
      </c>
    </row>
    <row r="44" spans="1:1" x14ac:dyDescent="0.55000000000000004">
      <c r="A44" t="s">
        <v>57</v>
      </c>
    </row>
    <row r="45" spans="1:1" x14ac:dyDescent="0.55000000000000004">
      <c r="A45" t="s">
        <v>58</v>
      </c>
    </row>
    <row r="46" spans="1:1" x14ac:dyDescent="0.55000000000000004">
      <c r="A46" t="s">
        <v>59</v>
      </c>
    </row>
    <row r="47" spans="1:1" x14ac:dyDescent="0.55000000000000004">
      <c r="A47" t="s">
        <v>60</v>
      </c>
    </row>
    <row r="48" spans="1:1" x14ac:dyDescent="0.55000000000000004">
      <c r="A48" t="s">
        <v>61</v>
      </c>
    </row>
    <row r="50" spans="1:1" x14ac:dyDescent="0.55000000000000004">
      <c r="A50" s="2" t="s">
        <v>62</v>
      </c>
    </row>
    <row r="51" spans="1:1" x14ac:dyDescent="0.55000000000000004">
      <c r="A51" t="s">
        <v>63</v>
      </c>
    </row>
    <row r="52" spans="1:1" x14ac:dyDescent="0.55000000000000004">
      <c r="A52" t="s">
        <v>64</v>
      </c>
    </row>
    <row r="53" spans="1:1" x14ac:dyDescent="0.55000000000000004">
      <c r="A53" t="s">
        <v>65</v>
      </c>
    </row>
    <row r="54" spans="1:1" x14ac:dyDescent="0.55000000000000004">
      <c r="A54" t="s">
        <v>66</v>
      </c>
    </row>
    <row r="55" spans="1:1" x14ac:dyDescent="0.55000000000000004">
      <c r="A55" t="s">
        <v>67</v>
      </c>
    </row>
    <row r="57" spans="1:1" x14ac:dyDescent="0.55000000000000004">
      <c r="A57" s="2" t="s">
        <v>68</v>
      </c>
    </row>
    <row r="58" spans="1:1" x14ac:dyDescent="0.55000000000000004">
      <c r="A58" t="s">
        <v>69</v>
      </c>
    </row>
    <row r="59" spans="1:1" x14ac:dyDescent="0.55000000000000004">
      <c r="A59" t="s">
        <v>70</v>
      </c>
    </row>
    <row r="60" spans="1:1" x14ac:dyDescent="0.55000000000000004">
      <c r="A60" t="s">
        <v>71</v>
      </c>
    </row>
    <row r="61" spans="1:1" x14ac:dyDescent="0.55000000000000004">
      <c r="A61" t="s">
        <v>72</v>
      </c>
    </row>
    <row r="63" spans="1:1" x14ac:dyDescent="0.55000000000000004">
      <c r="A63" s="2" t="s">
        <v>73</v>
      </c>
    </row>
    <row r="64" spans="1:1" x14ac:dyDescent="0.55000000000000004">
      <c r="A64" t="s">
        <v>74</v>
      </c>
    </row>
    <row r="65" spans="1:1" x14ac:dyDescent="0.55000000000000004">
      <c r="A65" t="s">
        <v>75</v>
      </c>
    </row>
    <row r="66" spans="1:1" x14ac:dyDescent="0.55000000000000004">
      <c r="A66" t="s">
        <v>76</v>
      </c>
    </row>
    <row r="67" spans="1:1" x14ac:dyDescent="0.55000000000000004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workbookViewId="0">
      <selection activeCell="B21" sqref="B21"/>
    </sheetView>
  </sheetViews>
  <sheetFormatPr defaultRowHeight="14.4" x14ac:dyDescent="0.55000000000000004"/>
  <cols>
    <col min="1" max="1" width="35" customWidth="1"/>
    <col min="2" max="2" width="25" customWidth="1"/>
    <col min="3" max="3" width="10" customWidth="1"/>
    <col min="5" max="5" width="12.41796875" customWidth="1"/>
  </cols>
  <sheetData>
    <row r="1" spans="1:5" ht="18.75" customHeight="1" x14ac:dyDescent="0.7">
      <c r="A1" s="1" t="s">
        <v>78</v>
      </c>
    </row>
    <row r="3" spans="1:5" x14ac:dyDescent="0.55000000000000004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55000000000000004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55000000000000004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55000000000000004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55000000000000004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55000000000000004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55000000000000004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55000000000000004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55000000000000004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55000000000000004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55000000000000004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55000000000000004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55000000000000004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55000000000000004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55000000000000004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55000000000000004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55000000000000004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55000000000000004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55000000000000004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55000000000000004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55000000000000004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55000000000000004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55000000000000004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55000000000000004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55000000000000004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55000000000000004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55000000000000004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55000000000000004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55000000000000004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55000000000000004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55000000000000004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55000000000000004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55000000000000004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55000000000000004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55000000000000004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55000000000000004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55000000000000004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55000000000000004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55000000000000004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55000000000000004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55000000000000004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55000000000000004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55000000000000004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55000000000000004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55000000000000004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55000000000000004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55000000000000004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55000000000000004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55000000000000004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C5" sqref="C5"/>
    </sheetView>
  </sheetViews>
  <sheetFormatPr defaultRowHeight="14.4" x14ac:dyDescent="0.55000000000000004"/>
  <cols>
    <col min="1" max="1" width="5" customWidth="1"/>
    <col min="2" max="3" width="30" customWidth="1"/>
  </cols>
  <sheetData>
    <row r="1" spans="1:3" ht="18.75" customHeight="1" x14ac:dyDescent="0.7">
      <c r="A1" s="1" t="s">
        <v>140</v>
      </c>
    </row>
    <row r="2" spans="1:3" x14ac:dyDescent="0.55000000000000004">
      <c r="A2" s="16" t="s">
        <v>141</v>
      </c>
    </row>
    <row r="4" spans="1:3" x14ac:dyDescent="0.55000000000000004">
      <c r="A4" s="3" t="s">
        <v>79</v>
      </c>
      <c r="B4" s="3" t="s">
        <v>142</v>
      </c>
      <c r="C4" s="3" t="s">
        <v>143</v>
      </c>
    </row>
    <row r="5" spans="1:3" x14ac:dyDescent="0.55000000000000004">
      <c r="A5" s="17">
        <v>1</v>
      </c>
      <c r="B5" s="59" t="s">
        <v>311</v>
      </c>
      <c r="C5" s="59" t="s">
        <v>16</v>
      </c>
    </row>
    <row r="6" spans="1:3" x14ac:dyDescent="0.55000000000000004">
      <c r="A6" s="17">
        <v>2</v>
      </c>
      <c r="B6" s="60" t="s">
        <v>312</v>
      </c>
      <c r="C6" s="60" t="s">
        <v>19</v>
      </c>
    </row>
    <row r="7" spans="1:3" x14ac:dyDescent="0.55000000000000004">
      <c r="A7" s="17">
        <v>3</v>
      </c>
      <c r="B7" s="59" t="s">
        <v>313</v>
      </c>
      <c r="C7" s="59" t="s">
        <v>354</v>
      </c>
    </row>
    <row r="8" spans="1:3" x14ac:dyDescent="0.55000000000000004">
      <c r="A8" s="17">
        <v>4</v>
      </c>
      <c r="B8" s="60" t="s">
        <v>314</v>
      </c>
      <c r="C8" s="60" t="s">
        <v>19</v>
      </c>
    </row>
    <row r="9" spans="1:3" x14ac:dyDescent="0.55000000000000004">
      <c r="A9" s="17">
        <v>5</v>
      </c>
      <c r="B9" s="59" t="s">
        <v>315</v>
      </c>
      <c r="C9" s="59" t="s">
        <v>16</v>
      </c>
    </row>
    <row r="10" spans="1:3" x14ac:dyDescent="0.55000000000000004">
      <c r="A10" s="17">
        <v>6</v>
      </c>
      <c r="B10" s="60" t="s">
        <v>316</v>
      </c>
      <c r="C10" s="60" t="s">
        <v>16</v>
      </c>
    </row>
    <row r="11" spans="1:3" x14ac:dyDescent="0.55000000000000004">
      <c r="A11" s="17">
        <v>7</v>
      </c>
      <c r="B11" s="59" t="s">
        <v>317</v>
      </c>
      <c r="C11" s="59" t="s">
        <v>144</v>
      </c>
    </row>
    <row r="12" spans="1:3" x14ac:dyDescent="0.55000000000000004">
      <c r="A12" s="17">
        <v>8</v>
      </c>
      <c r="B12" s="60" t="s">
        <v>318</v>
      </c>
      <c r="C12" s="60" t="s">
        <v>144</v>
      </c>
    </row>
    <row r="13" spans="1:3" x14ac:dyDescent="0.55000000000000004">
      <c r="A13" s="17">
        <v>9</v>
      </c>
      <c r="B13" s="59" t="s">
        <v>319</v>
      </c>
      <c r="C13" s="59" t="s">
        <v>355</v>
      </c>
    </row>
    <row r="14" spans="1:3" x14ac:dyDescent="0.55000000000000004">
      <c r="A14" s="17">
        <v>10</v>
      </c>
      <c r="B14" s="60" t="s">
        <v>320</v>
      </c>
      <c r="C14" s="60" t="s">
        <v>144</v>
      </c>
    </row>
    <row r="15" spans="1:3" x14ac:dyDescent="0.55000000000000004">
      <c r="A15" s="17">
        <v>11</v>
      </c>
      <c r="B15" s="59" t="s">
        <v>321</v>
      </c>
      <c r="C15" s="59" t="s">
        <v>19</v>
      </c>
    </row>
    <row r="16" spans="1:3" x14ac:dyDescent="0.55000000000000004">
      <c r="A16" s="17">
        <v>12</v>
      </c>
      <c r="B16" s="60" t="s">
        <v>322</v>
      </c>
      <c r="C16" s="60" t="s">
        <v>19</v>
      </c>
    </row>
    <row r="17" spans="1:3" x14ac:dyDescent="0.55000000000000004">
      <c r="A17" s="17">
        <v>13</v>
      </c>
      <c r="B17" s="59" t="s">
        <v>323</v>
      </c>
      <c r="C17" s="59" t="s">
        <v>145</v>
      </c>
    </row>
    <row r="18" spans="1:3" x14ac:dyDescent="0.55000000000000004">
      <c r="A18" s="17">
        <v>14</v>
      </c>
      <c r="B18" s="60" t="s">
        <v>324</v>
      </c>
      <c r="C18" s="60" t="s">
        <v>16</v>
      </c>
    </row>
    <row r="19" spans="1:3" x14ac:dyDescent="0.55000000000000004">
      <c r="A19" s="17">
        <v>15</v>
      </c>
      <c r="B19" s="59" t="s">
        <v>325</v>
      </c>
      <c r="C19" s="59" t="s">
        <v>145</v>
      </c>
    </row>
    <row r="20" spans="1:3" x14ac:dyDescent="0.55000000000000004">
      <c r="A20" s="17">
        <v>16</v>
      </c>
      <c r="B20" s="60" t="s">
        <v>326</v>
      </c>
      <c r="C20" s="60" t="s">
        <v>147</v>
      </c>
    </row>
    <row r="21" spans="1:3" x14ac:dyDescent="0.55000000000000004">
      <c r="A21" s="17">
        <v>17</v>
      </c>
      <c r="B21" s="59" t="s">
        <v>327</v>
      </c>
      <c r="C21" s="59" t="s">
        <v>16</v>
      </c>
    </row>
    <row r="22" spans="1:3" x14ac:dyDescent="0.55000000000000004">
      <c r="A22" s="17">
        <v>18</v>
      </c>
      <c r="B22" s="60" t="s">
        <v>328</v>
      </c>
      <c r="C22" s="60" t="s">
        <v>351</v>
      </c>
    </row>
    <row r="23" spans="1:3" x14ac:dyDescent="0.55000000000000004">
      <c r="A23" s="17">
        <v>19</v>
      </c>
      <c r="B23" s="59" t="s">
        <v>329</v>
      </c>
      <c r="C23" s="59" t="s">
        <v>16</v>
      </c>
    </row>
    <row r="24" spans="1:3" x14ac:dyDescent="0.55000000000000004">
      <c r="A24" s="17">
        <v>20</v>
      </c>
      <c r="B24" s="60" t="s">
        <v>330</v>
      </c>
      <c r="C24" s="60" t="s">
        <v>19</v>
      </c>
    </row>
    <row r="25" spans="1:3" x14ac:dyDescent="0.55000000000000004">
      <c r="A25" s="17">
        <v>21</v>
      </c>
      <c r="B25" s="59" t="s">
        <v>331</v>
      </c>
      <c r="C25" s="59" t="s">
        <v>145</v>
      </c>
    </row>
    <row r="26" spans="1:3" x14ac:dyDescent="0.55000000000000004">
      <c r="A26" s="17">
        <v>22</v>
      </c>
      <c r="B26" s="60" t="s">
        <v>332</v>
      </c>
      <c r="C26" s="60" t="s">
        <v>355</v>
      </c>
    </row>
    <row r="27" spans="1:3" x14ac:dyDescent="0.55000000000000004">
      <c r="A27" s="17">
        <v>23</v>
      </c>
      <c r="B27" s="59" t="s">
        <v>333</v>
      </c>
      <c r="C27" s="59" t="s">
        <v>352</v>
      </c>
    </row>
    <row r="28" spans="1:3" x14ac:dyDescent="0.55000000000000004">
      <c r="A28" s="17">
        <v>24</v>
      </c>
      <c r="B28" s="60" t="s">
        <v>334</v>
      </c>
      <c r="C28" s="60" t="s">
        <v>16</v>
      </c>
    </row>
    <row r="29" spans="1:3" x14ac:dyDescent="0.55000000000000004">
      <c r="A29" s="17">
        <v>25</v>
      </c>
      <c r="B29" s="59" t="s">
        <v>335</v>
      </c>
      <c r="C29" s="59" t="s">
        <v>16</v>
      </c>
    </row>
    <row r="30" spans="1:3" x14ac:dyDescent="0.55000000000000004">
      <c r="A30" s="17">
        <v>26</v>
      </c>
      <c r="B30" s="60" t="s">
        <v>336</v>
      </c>
      <c r="C30" s="60" t="s">
        <v>144</v>
      </c>
    </row>
    <row r="31" spans="1:3" x14ac:dyDescent="0.55000000000000004">
      <c r="A31" s="17">
        <v>27</v>
      </c>
      <c r="B31" s="59" t="s">
        <v>337</v>
      </c>
      <c r="C31" s="59" t="s">
        <v>16</v>
      </c>
    </row>
    <row r="32" spans="1:3" x14ac:dyDescent="0.55000000000000004">
      <c r="A32" s="17">
        <v>28</v>
      </c>
      <c r="B32" s="60" t="s">
        <v>338</v>
      </c>
      <c r="C32" s="60" t="s">
        <v>16</v>
      </c>
    </row>
    <row r="33" spans="1:3" x14ac:dyDescent="0.55000000000000004">
      <c r="A33" s="17">
        <v>29</v>
      </c>
      <c r="B33" s="59" t="s">
        <v>339</v>
      </c>
      <c r="C33" s="59" t="s">
        <v>144</v>
      </c>
    </row>
    <row r="34" spans="1:3" x14ac:dyDescent="0.55000000000000004">
      <c r="A34" s="17">
        <v>30</v>
      </c>
      <c r="B34" s="60" t="s">
        <v>340</v>
      </c>
      <c r="C34" s="60" t="s">
        <v>144</v>
      </c>
    </row>
    <row r="35" spans="1:3" x14ac:dyDescent="0.55000000000000004">
      <c r="A35" s="17">
        <v>31</v>
      </c>
      <c r="B35" s="59" t="s">
        <v>341</v>
      </c>
      <c r="C35" s="59" t="s">
        <v>353</v>
      </c>
    </row>
    <row r="36" spans="1:3" x14ac:dyDescent="0.55000000000000004">
      <c r="A36" s="17">
        <v>32</v>
      </c>
      <c r="B36" s="60" t="s">
        <v>342</v>
      </c>
      <c r="C36" s="60" t="s">
        <v>146</v>
      </c>
    </row>
    <row r="37" spans="1:3" x14ac:dyDescent="0.55000000000000004">
      <c r="A37" s="17">
        <v>33</v>
      </c>
      <c r="B37" s="59" t="s">
        <v>343</v>
      </c>
      <c r="C37" s="59" t="s">
        <v>146</v>
      </c>
    </row>
    <row r="38" spans="1:3" x14ac:dyDescent="0.55000000000000004">
      <c r="A38" s="17">
        <v>34</v>
      </c>
      <c r="B38" s="60" t="s">
        <v>344</v>
      </c>
      <c r="C38" s="60" t="s">
        <v>148</v>
      </c>
    </row>
    <row r="39" spans="1:3" x14ac:dyDescent="0.55000000000000004">
      <c r="A39" s="17">
        <v>35</v>
      </c>
      <c r="B39" s="59" t="s">
        <v>345</v>
      </c>
      <c r="C39" s="59" t="s">
        <v>16</v>
      </c>
    </row>
    <row r="40" spans="1:3" x14ac:dyDescent="0.55000000000000004">
      <c r="A40" s="17">
        <v>36</v>
      </c>
      <c r="B40" s="60" t="s">
        <v>346</v>
      </c>
      <c r="C40" s="60" t="s">
        <v>16</v>
      </c>
    </row>
    <row r="41" spans="1:3" x14ac:dyDescent="0.55000000000000004">
      <c r="A41" s="17">
        <v>37</v>
      </c>
      <c r="B41" s="59" t="s">
        <v>347</v>
      </c>
      <c r="C41" s="59" t="s">
        <v>144</v>
      </c>
    </row>
    <row r="42" spans="1:3" x14ac:dyDescent="0.55000000000000004">
      <c r="A42" s="17">
        <v>38</v>
      </c>
      <c r="B42" s="60" t="s">
        <v>348</v>
      </c>
      <c r="C42" s="60" t="s">
        <v>16</v>
      </c>
    </row>
    <row r="43" spans="1:3" x14ac:dyDescent="0.55000000000000004">
      <c r="A43" s="17">
        <v>39</v>
      </c>
      <c r="B43" s="59" t="s">
        <v>349</v>
      </c>
      <c r="C43" s="59" t="s">
        <v>16</v>
      </c>
    </row>
    <row r="44" spans="1:3" x14ac:dyDescent="0.55000000000000004">
      <c r="A44" s="17">
        <v>40</v>
      </c>
      <c r="B44" s="60" t="s">
        <v>350</v>
      </c>
      <c r="C44" s="60" t="s">
        <v>145</v>
      </c>
    </row>
    <row r="45" spans="1:3" x14ac:dyDescent="0.55000000000000004">
      <c r="A45" s="17">
        <v>41</v>
      </c>
      <c r="B45" s="59" t="s">
        <v>356</v>
      </c>
      <c r="C45" s="59" t="s">
        <v>16</v>
      </c>
    </row>
    <row r="46" spans="1:3" x14ac:dyDescent="0.55000000000000004">
      <c r="A46" s="17">
        <v>42</v>
      </c>
      <c r="B46" s="60" t="s">
        <v>357</v>
      </c>
      <c r="C46" s="59" t="s">
        <v>16</v>
      </c>
    </row>
    <row r="47" spans="1:3" x14ac:dyDescent="0.55000000000000004">
      <c r="A47" s="17">
        <v>43</v>
      </c>
      <c r="B47" s="59" t="s">
        <v>358</v>
      </c>
      <c r="C47" s="59" t="s">
        <v>16</v>
      </c>
    </row>
    <row r="48" spans="1:3" x14ac:dyDescent="0.55000000000000004">
      <c r="A48" s="17">
        <v>44</v>
      </c>
      <c r="B48" s="60" t="s">
        <v>359</v>
      </c>
      <c r="C48" s="59" t="s">
        <v>16</v>
      </c>
    </row>
    <row r="49" spans="1:3" x14ac:dyDescent="0.55000000000000004">
      <c r="A49" s="17">
        <v>45</v>
      </c>
      <c r="B49" s="59" t="s">
        <v>360</v>
      </c>
      <c r="C49" s="59" t="s">
        <v>16</v>
      </c>
    </row>
    <row r="50" spans="1:3" x14ac:dyDescent="0.55000000000000004">
      <c r="A50" s="17">
        <v>46</v>
      </c>
      <c r="B50" s="60" t="s">
        <v>361</v>
      </c>
      <c r="C50" s="59" t="s">
        <v>16</v>
      </c>
    </row>
    <row r="51" spans="1:3" x14ac:dyDescent="0.55000000000000004">
      <c r="A51" s="17">
        <v>47</v>
      </c>
      <c r="B51" s="59" t="s">
        <v>362</v>
      </c>
      <c r="C51" s="59" t="s">
        <v>16</v>
      </c>
    </row>
    <row r="52" spans="1:3" x14ac:dyDescent="0.55000000000000004">
      <c r="A52" s="17">
        <v>48</v>
      </c>
      <c r="B52" s="60" t="s">
        <v>363</v>
      </c>
      <c r="C52" s="59" t="s">
        <v>16</v>
      </c>
    </row>
    <row r="53" spans="1:3" x14ac:dyDescent="0.55000000000000004">
      <c r="A53" s="17">
        <v>49</v>
      </c>
    </row>
    <row r="54" spans="1:3" x14ac:dyDescent="0.55000000000000004">
      <c r="A54" s="17">
        <v>50</v>
      </c>
    </row>
    <row r="55" spans="1:3" x14ac:dyDescent="0.55000000000000004">
      <c r="A55" s="17">
        <v>51</v>
      </c>
    </row>
    <row r="56" spans="1:3" x14ac:dyDescent="0.55000000000000004">
      <c r="A56" s="17">
        <v>52</v>
      </c>
    </row>
    <row r="57" spans="1:3" x14ac:dyDescent="0.55000000000000004">
      <c r="A57" s="17">
        <v>53</v>
      </c>
    </row>
    <row r="58" spans="1:3" x14ac:dyDescent="0.55000000000000004">
      <c r="A58" s="17">
        <v>54</v>
      </c>
    </row>
    <row r="59" spans="1:3" x14ac:dyDescent="0.55000000000000004">
      <c r="A59" s="17">
        <v>55</v>
      </c>
    </row>
    <row r="60" spans="1:3" x14ac:dyDescent="0.55000000000000004">
      <c r="A60" s="17">
        <v>56</v>
      </c>
    </row>
    <row r="61" spans="1:3" x14ac:dyDescent="0.55000000000000004">
      <c r="A61" s="17">
        <v>57</v>
      </c>
    </row>
    <row r="62" spans="1:3" x14ac:dyDescent="0.55000000000000004">
      <c r="A62" s="17">
        <v>58</v>
      </c>
    </row>
    <row r="63" spans="1:3" x14ac:dyDescent="0.55000000000000004">
      <c r="A63" s="17">
        <v>59</v>
      </c>
    </row>
    <row r="64" spans="1:3" x14ac:dyDescent="0.55000000000000004">
      <c r="A64" s="17">
        <v>60</v>
      </c>
    </row>
    <row r="65" spans="1:1" x14ac:dyDescent="0.55000000000000004">
      <c r="A65" s="17">
        <v>61</v>
      </c>
    </row>
    <row r="66" spans="1:1" x14ac:dyDescent="0.55000000000000004">
      <c r="A66" s="17">
        <v>62</v>
      </c>
    </row>
    <row r="67" spans="1:1" x14ac:dyDescent="0.55000000000000004">
      <c r="A67" s="17">
        <v>63</v>
      </c>
    </row>
    <row r="68" spans="1:1" x14ac:dyDescent="0.55000000000000004">
      <c r="A68" s="17">
        <v>64</v>
      </c>
    </row>
    <row r="69" spans="1:1" x14ac:dyDescent="0.55000000000000004">
      <c r="A69" s="17">
        <v>65</v>
      </c>
    </row>
    <row r="70" spans="1:1" x14ac:dyDescent="0.55000000000000004">
      <c r="A70" s="17">
        <v>66</v>
      </c>
    </row>
    <row r="71" spans="1:1" x14ac:dyDescent="0.55000000000000004">
      <c r="A71" s="17">
        <v>67</v>
      </c>
    </row>
    <row r="72" spans="1:1" x14ac:dyDescent="0.55000000000000004">
      <c r="A72" s="17">
        <v>68</v>
      </c>
    </row>
    <row r="73" spans="1:1" x14ac:dyDescent="0.55000000000000004">
      <c r="A73" s="17">
        <v>69</v>
      </c>
    </row>
    <row r="74" spans="1:1" x14ac:dyDescent="0.55000000000000004">
      <c r="A74" s="17">
        <v>70</v>
      </c>
    </row>
    <row r="75" spans="1:1" x14ac:dyDescent="0.55000000000000004">
      <c r="A75" s="17">
        <v>71</v>
      </c>
    </row>
    <row r="76" spans="1:1" x14ac:dyDescent="0.55000000000000004">
      <c r="A76" s="17">
        <v>72</v>
      </c>
    </row>
    <row r="77" spans="1:1" x14ac:dyDescent="0.55000000000000004">
      <c r="A77" s="17">
        <v>73</v>
      </c>
    </row>
    <row r="78" spans="1:1" x14ac:dyDescent="0.55000000000000004">
      <c r="A78" s="17">
        <v>74</v>
      </c>
    </row>
    <row r="79" spans="1:1" x14ac:dyDescent="0.55000000000000004">
      <c r="A79" s="17">
        <v>75</v>
      </c>
    </row>
    <row r="80" spans="1:1" x14ac:dyDescent="0.55000000000000004">
      <c r="A80" s="17">
        <v>76</v>
      </c>
    </row>
    <row r="81" spans="1:1" x14ac:dyDescent="0.55000000000000004">
      <c r="A81" s="17">
        <v>77</v>
      </c>
    </row>
    <row r="82" spans="1:1" x14ac:dyDescent="0.55000000000000004">
      <c r="A82" s="17">
        <v>78</v>
      </c>
    </row>
    <row r="83" spans="1:1" x14ac:dyDescent="0.55000000000000004">
      <c r="A83" s="17">
        <v>79</v>
      </c>
    </row>
    <row r="84" spans="1:1" x14ac:dyDescent="0.55000000000000004">
      <c r="A84" s="17">
        <v>80</v>
      </c>
    </row>
    <row r="85" spans="1:1" x14ac:dyDescent="0.55000000000000004">
      <c r="A85" s="17">
        <v>81</v>
      </c>
    </row>
    <row r="86" spans="1:1" x14ac:dyDescent="0.55000000000000004">
      <c r="A86" s="17">
        <v>82</v>
      </c>
    </row>
    <row r="87" spans="1:1" x14ac:dyDescent="0.55000000000000004">
      <c r="A87" s="17">
        <v>83</v>
      </c>
    </row>
    <row r="88" spans="1:1" x14ac:dyDescent="0.55000000000000004">
      <c r="A88" s="17">
        <v>84</v>
      </c>
    </row>
    <row r="89" spans="1:1" x14ac:dyDescent="0.55000000000000004">
      <c r="A89" s="17">
        <v>85</v>
      </c>
    </row>
    <row r="90" spans="1:1" x14ac:dyDescent="0.55000000000000004">
      <c r="A90" s="17">
        <v>86</v>
      </c>
    </row>
    <row r="91" spans="1:1" x14ac:dyDescent="0.55000000000000004">
      <c r="A91" s="17">
        <v>87</v>
      </c>
    </row>
    <row r="92" spans="1:1" x14ac:dyDescent="0.55000000000000004">
      <c r="A92" s="17">
        <v>88</v>
      </c>
    </row>
    <row r="93" spans="1:1" x14ac:dyDescent="0.55000000000000004">
      <c r="A93" s="17">
        <v>89</v>
      </c>
    </row>
    <row r="94" spans="1:1" x14ac:dyDescent="0.55000000000000004">
      <c r="A94" s="17">
        <v>90</v>
      </c>
    </row>
    <row r="95" spans="1:1" x14ac:dyDescent="0.55000000000000004">
      <c r="A95" s="17">
        <v>91</v>
      </c>
    </row>
    <row r="96" spans="1:1" x14ac:dyDescent="0.55000000000000004">
      <c r="A96" s="17">
        <v>92</v>
      </c>
    </row>
    <row r="97" spans="1:1" x14ac:dyDescent="0.55000000000000004">
      <c r="A97" s="17">
        <v>93</v>
      </c>
    </row>
    <row r="98" spans="1:1" x14ac:dyDescent="0.55000000000000004">
      <c r="A98" s="17">
        <v>94</v>
      </c>
    </row>
    <row r="99" spans="1:1" x14ac:dyDescent="0.55000000000000004">
      <c r="A99" s="17">
        <v>95</v>
      </c>
    </row>
    <row r="100" spans="1:1" x14ac:dyDescent="0.55000000000000004">
      <c r="A100" s="17">
        <v>96</v>
      </c>
    </row>
    <row r="101" spans="1:1" x14ac:dyDescent="0.55000000000000004">
      <c r="A101" s="17">
        <v>97</v>
      </c>
    </row>
    <row r="102" spans="1:1" x14ac:dyDescent="0.55000000000000004">
      <c r="A102" s="17">
        <v>98</v>
      </c>
    </row>
    <row r="103" spans="1:1" x14ac:dyDescent="0.55000000000000004">
      <c r="A103" s="17">
        <v>99</v>
      </c>
    </row>
    <row r="104" spans="1:1" x14ac:dyDescent="0.55000000000000004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4.4" x14ac:dyDescent="0.55000000000000004"/>
  <cols>
    <col min="1" max="1" width="5" customWidth="1"/>
    <col min="2" max="3" width="30" customWidth="1"/>
    <col min="4" max="4" width="10" customWidth="1"/>
    <col min="5" max="5" width="14.578125" customWidth="1"/>
  </cols>
  <sheetData>
    <row r="1" spans="1:5" ht="18.75" customHeight="1" x14ac:dyDescent="0.7">
      <c r="A1" s="1" t="s">
        <v>149</v>
      </c>
    </row>
    <row r="2" spans="1:5" x14ac:dyDescent="0.55000000000000004">
      <c r="A2" s="16" t="s">
        <v>150</v>
      </c>
    </row>
    <row r="3" spans="1:5" x14ac:dyDescent="0.55000000000000004">
      <c r="A3" s="18" t="s">
        <v>151</v>
      </c>
    </row>
    <row r="5" spans="1:5" x14ac:dyDescent="0.55000000000000004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55000000000000004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55000000000000004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55000000000000004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55000000000000004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55000000000000004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55000000000000004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55000000000000004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55000000000000004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55000000000000004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55000000000000004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55000000000000004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55000000000000004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55000000000000004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55000000000000004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55000000000000004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55000000000000004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55000000000000004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55000000000000004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55000000000000004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55000000000000004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55000000000000004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55000000000000004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55000000000000004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55000000000000004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55000000000000004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55000000000000004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55000000000000004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55000000000000004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55000000000000004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55000000000000004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55000000000000004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55000000000000004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55000000000000004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55000000000000004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55000000000000004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55000000000000004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55000000000000004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55000000000000004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55000000000000004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55000000000000004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55000000000000004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55000000000000004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55000000000000004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55000000000000004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55000000000000004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55000000000000004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55000000000000004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55000000000000004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3" workbookViewId="0">
      <selection activeCell="F19" sqref="F19"/>
    </sheetView>
  </sheetViews>
  <sheetFormatPr defaultRowHeight="14.4" x14ac:dyDescent="0.55000000000000004"/>
  <cols>
    <col min="1" max="1" width="7" customWidth="1"/>
    <col min="2" max="3" width="8" customWidth="1"/>
    <col min="4" max="4" width="28" customWidth="1"/>
    <col min="5" max="5" width="11.839843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7">
      <c r="A1" s="1" t="s">
        <v>153</v>
      </c>
    </row>
    <row r="2" spans="1:11" x14ac:dyDescent="0.55000000000000004">
      <c r="A2" s="16" t="s">
        <v>154</v>
      </c>
    </row>
    <row r="4" spans="1:11" x14ac:dyDescent="0.55000000000000004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55000000000000004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55000000000000004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55000000000000004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55000000000000004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55000000000000004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55000000000000004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55000000000000004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55000000000000004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55000000000000004">
      <c r="A13" s="27">
        <v>9</v>
      </c>
      <c r="B13" s="27" t="s">
        <v>173</v>
      </c>
      <c r="C13" s="27" t="s">
        <v>174</v>
      </c>
      <c r="D13" s="28" t="s">
        <v>103</v>
      </c>
      <c r="E13" s="27"/>
      <c r="F13" s="27"/>
      <c r="G13" s="28" t="s">
        <v>104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55000000000000004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55000000000000004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55000000000000004">
      <c r="A16" s="29">
        <v>12</v>
      </c>
      <c r="B16" s="29" t="s">
        <v>173</v>
      </c>
      <c r="C16" s="29" t="s">
        <v>175</v>
      </c>
      <c r="D16" s="30" t="s">
        <v>108</v>
      </c>
      <c r="E16" s="29"/>
      <c r="F16" s="29"/>
      <c r="G16" s="30" t="s">
        <v>109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55000000000000004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55000000000000004">
      <c r="A18" s="31">
        <v>14</v>
      </c>
      <c r="B18" s="31" t="s">
        <v>176</v>
      </c>
      <c r="C18" s="31" t="s">
        <v>177</v>
      </c>
      <c r="D18" s="32" t="s">
        <v>115</v>
      </c>
      <c r="E18" s="31"/>
      <c r="F18" s="31"/>
      <c r="G18" s="32" t="s">
        <v>117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55000000000000004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55000000000000004">
      <c r="A20" s="33">
        <v>16</v>
      </c>
      <c r="B20" s="33" t="s">
        <v>176</v>
      </c>
      <c r="C20" s="33" t="s">
        <v>178</v>
      </c>
      <c r="D20" s="34" t="s">
        <v>110</v>
      </c>
      <c r="E20" s="33"/>
      <c r="F20" s="33"/>
      <c r="G20" s="34" t="s">
        <v>112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55000000000000004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55000000000000004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55000000000000004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55000000000000004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55000000000000004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55000000000000004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55000000000000004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55000000000000004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55000000000000004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55000000000000004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55000000000000004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55000000000000004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55000000000000004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55000000000000004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55000000000000004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55000000000000004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55000000000000004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55000000000000004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55000000000000004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55000000000000004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55000000000000004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55000000000000004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55000000000000004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55000000000000004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55000000000000004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55000000000000004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55000000000000004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55000000000000004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55000000000000004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55000000000000004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55000000000000004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55000000000000004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55000000000000004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55000000000000004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55000000000000004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55000000000000004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55000000000000004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55000000000000004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55000000000000004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55000000000000004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55000000000000004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55000000000000004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55000000000000004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55000000000000004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55000000000000004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55000000000000004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55000000000000004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55000000000000004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55000000000000004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55000000000000004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55000000000000004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55000000000000004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55000000000000004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55000000000000004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55000000000000004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55000000000000004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55000000000000004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55000000000000004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55000000000000004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55000000000000004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55000000000000004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55000000000000004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55000000000000004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55000000000000004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55000000000000004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55000000000000004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55000000000000004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55000000000000004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55000000000000004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55000000000000004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55000000000000004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55000000000000004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55000000000000004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55000000000000004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55000000000000004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55000000000000004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55000000000000004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55000000000000004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55000000000000004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55000000000000004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55000000000000004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55000000000000004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55000000000000004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55000000000000004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55000000000000004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55000000000000004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55000000000000004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55000000000000004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4.4" x14ac:dyDescent="0.55000000000000004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7">
      <c r="A1" s="1" t="s">
        <v>282</v>
      </c>
    </row>
    <row r="2" spans="1:11" x14ac:dyDescent="0.55000000000000004">
      <c r="A2" s="16" t="s">
        <v>283</v>
      </c>
    </row>
    <row r="4" spans="1:11" x14ac:dyDescent="0.55000000000000004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55000000000000004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55000000000000004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55000000000000004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55000000000000004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55000000000000004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55000000000000004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55000000000000004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55000000000000004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55000000000000004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55000000000000004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55000000000000004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55000000000000004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55000000000000004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55000000000000004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55000000000000004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55000000000000004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55000000000000004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55000000000000004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55000000000000004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55000000000000004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55000000000000004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1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2</v>
      </c>
      <c r="I25" s="29">
        <f>SUMPRODUCT((Fixtures!D$5:D$76=B25)*(Fixtures!F$5:F$76&lt;&gt;"")*Fixtures!F$5:F$76)+SUMPRODUCT((Fixtures!G$5:G$76=B25)*(Fixtures!E$5:E$76&lt;&gt;"")*Fixtures!E$5:E$76)</f>
        <v>2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2</v>
      </c>
    </row>
    <row r="26" spans="1:11" x14ac:dyDescent="0.55000000000000004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1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2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2</v>
      </c>
    </row>
    <row r="27" spans="1:11" x14ac:dyDescent="0.55000000000000004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55000000000000004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55000000000000004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55000000000000004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55000000000000004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55000000000000004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55000000000000004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55000000000000004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55000000000000004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55000000000000004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55000000000000004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55000000000000004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55000000000000004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55000000000000004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55000000000000004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55000000000000004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55000000000000004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55000000000000004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55000000000000004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55000000000000004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55000000000000004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55000000000000004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55000000000000004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55000000000000004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55000000000000004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55000000000000004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4.4" x14ac:dyDescent="0.55000000000000004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7">
      <c r="A1" s="1" t="s">
        <v>292</v>
      </c>
    </row>
    <row r="2" spans="1:14" x14ac:dyDescent="0.55000000000000004">
      <c r="A2" s="16" t="s">
        <v>293</v>
      </c>
    </row>
    <row r="4" spans="1:14" x14ac:dyDescent="0.55000000000000004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55000000000000004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55000000000000004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55000000000000004">
      <c r="A7" s="50">
        <v>3</v>
      </c>
      <c r="B7" s="51" t="str">
        <f>IFERROR(INDEX($H$5:$H$104,MATCH(3,$N$5:$N$104,0)),"")</f>
        <v>Connor Scicluna</v>
      </c>
      <c r="C7" s="51" t="str">
        <f>IFERROR(INDEX($I$5:$I$104,MATCH(3,$N$5:$N$104,0)),"")</f>
        <v>Mexico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15</v>
      </c>
    </row>
    <row r="8" spans="1:14" x14ac:dyDescent="0.55000000000000004">
      <c r="A8" s="43">
        <v>4</v>
      </c>
      <c r="B8" s="44" t="str">
        <f>IFERROR(INDEX($H$5:$H$104,MATCH(4,$N$5:$N$104,0)),"")</f>
        <v>Prasantha Nandulamatam</v>
      </c>
      <c r="C8" s="44" t="str">
        <f>IFERROR(INDEX($I$5:$I$104,MATCH(4,$N$5:$N$104,0)),"")</f>
        <v>Australia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16</v>
      </c>
    </row>
    <row r="9" spans="1:14" x14ac:dyDescent="0.55000000000000004">
      <c r="A9" s="43">
        <v>5</v>
      </c>
      <c r="B9" s="44" t="str">
        <f>IFERROR(INDEX($H$5:$H$104,MATCH(5,$N$5:$N$104,0)),"")</f>
        <v>Sean Farley</v>
      </c>
      <c r="C9" s="44" t="str">
        <f>IFERROR(INDEX($I$5:$I$104,MATCH(5,$N$5:$N$104,0)),"")</f>
        <v>United States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7</v>
      </c>
    </row>
    <row r="10" spans="1:14" x14ac:dyDescent="0.55000000000000004">
      <c r="A10" s="43">
        <v>6</v>
      </c>
      <c r="B10" s="44" t="str">
        <f>IFERROR(INDEX($H$5:$H$104,MATCH(6,$N$5:$N$104,0)),"")</f>
        <v>Kamini Gounder</v>
      </c>
      <c r="C10" s="44" t="str">
        <f>IFERROR(INDEX($I$5:$I$104,MATCH(6,$N$5:$N$104,0)),"")</f>
        <v>South Korea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17</v>
      </c>
    </row>
    <row r="11" spans="1:14" x14ac:dyDescent="0.55000000000000004">
      <c r="A11" s="43">
        <v>7</v>
      </c>
      <c r="B11" s="44" t="str">
        <f>IFERROR(INDEX($H$5:$H$104,MATCH(7,$N$5:$N$104,0)),"")</f>
        <v>Andrew Sinnott</v>
      </c>
      <c r="C11" s="44" t="str">
        <f>IFERROR(INDEX($I$5:$I$104,MATCH(7,$N$5:$N$104,0)),"")</f>
        <v>Switzerland</v>
      </c>
      <c r="D11" s="43">
        <f>IFERROR(INDEX($J$5:$J$104,MATCH(7,$N$5:$N$104,0)),"")</f>
        <v>2</v>
      </c>
      <c r="E11" s="43">
        <f>IFERROR(INDEX($K$5:$K$104,MATCH(7,$N$5:$N$104,0)),"")</f>
        <v>0</v>
      </c>
      <c r="F11" s="43">
        <f>IFERROR(INDEX($L$5:$L$104,MATCH(7,$N$5:$N$104,0)),"")</f>
        <v>1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18</v>
      </c>
    </row>
    <row r="12" spans="1:14" x14ac:dyDescent="0.55000000000000004">
      <c r="A12" s="43">
        <v>8</v>
      </c>
      <c r="B12" s="44" t="str">
        <f>IFERROR(INDEX($H$5:$H$104,MATCH(8,$N$5:$N$104,0)),"")</f>
        <v>Krystal Gerrie</v>
      </c>
      <c r="C12" s="44" t="str">
        <f>IFERROR(INDEX($I$5:$I$104,MATCH(8,$N$5:$N$104,0)),"")</f>
        <v>Morocco</v>
      </c>
      <c r="D12" s="43">
        <f>IFERROR(INDEX($J$5:$J$104,MATCH(8,$N$5:$N$104,0)),"")</f>
        <v>2</v>
      </c>
      <c r="E12" s="43">
        <f>IFERROR(INDEX($K$5:$K$104,MATCH(8,$N$5:$N$104,0)),"")</f>
        <v>0</v>
      </c>
      <c r="F12" s="43">
        <f>IFERROR(INDEX($L$5:$L$104,MATCH(8,$N$5:$N$104,0)),"")</f>
        <v>1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19</v>
      </c>
    </row>
    <row r="13" spans="1:14" x14ac:dyDescent="0.55000000000000004">
      <c r="A13" s="43">
        <v>9</v>
      </c>
      <c r="B13" s="44" t="str">
        <f>IFERROR(INDEX($H$5:$H$104,MATCH(9,$N$5:$N$104,0)),"")</f>
        <v>Matthew Johnson</v>
      </c>
      <c r="C13" s="44" t="str">
        <f>IFERROR(INDEX($I$5:$I$104,MATCH(9,$N$5:$N$104,0)),"")</f>
        <v>Qatar</v>
      </c>
      <c r="D13" s="43">
        <f>IFERROR(INDEX($J$5:$J$104,MATCH(9,$N$5:$N$104,0)),"")</f>
        <v>2</v>
      </c>
      <c r="E13" s="43">
        <f>IFERROR(INDEX($K$5:$K$104,MATCH(9,$N$5:$N$104,0)),"")</f>
        <v>0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20</v>
      </c>
    </row>
    <row r="14" spans="1:14" x14ac:dyDescent="0.55000000000000004">
      <c r="A14" s="43">
        <v>10</v>
      </c>
      <c r="B14" s="44" t="str">
        <f>IFERROR(INDEX($H$5:$H$104,MATCH(10,$N$5:$N$104,0)),"")</f>
        <v>Kate Higgs</v>
      </c>
      <c r="C14" s="44" t="str">
        <f>IFERROR(INDEX($I$5:$I$104,MATCH(10,$N$5:$N$104,0)),"")</f>
        <v>Canada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8</v>
      </c>
    </row>
    <row r="15" spans="1:14" x14ac:dyDescent="0.55000000000000004">
      <c r="A15" s="43">
        <v>11</v>
      </c>
      <c r="B15" s="44" t="str">
        <f>IFERROR(INDEX($H$5:$H$104,MATCH(11,$N$5:$N$104,0)),"")</f>
        <v>Jackson Whiteside</v>
      </c>
      <c r="C15" s="44" t="str">
        <f>IFERROR(INDEX($I$5:$I$104,MATCH(11,$N$5:$N$104,0)),"")</f>
        <v>Japan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21</v>
      </c>
    </row>
    <row r="16" spans="1:14" x14ac:dyDescent="0.55000000000000004">
      <c r="A16" s="43">
        <v>12</v>
      </c>
      <c r="B16" s="44" t="str">
        <f>IFERROR(INDEX($H$5:$H$104,MATCH(12,$N$5:$N$104,0)),"")</f>
        <v>Beau Prendergast</v>
      </c>
      <c r="C16" s="44" t="str">
        <f>IFERROR(INDEX($I$5:$I$104,MATCH(12,$N$5:$N$104,0)),"")</f>
        <v>Brazil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9</v>
      </c>
    </row>
    <row r="17" spans="1:14" x14ac:dyDescent="0.55000000000000004">
      <c r="A17" s="43">
        <v>13</v>
      </c>
      <c r="B17" s="44" t="str">
        <f>IFERROR(INDEX($H$5:$H$104,MATCH(13,$N$5:$N$104,0)),"")</f>
        <v>Joel Reid</v>
      </c>
      <c r="C17" s="44" t="str">
        <f>IFERROR(INDEX($I$5:$I$104,MATCH(13,$N$5:$N$104,0)),"")</f>
        <v>Netherlands</v>
      </c>
      <c r="D17" s="43">
        <f>IFERROR(INDEX($J$5:$J$104,MATCH(13,$N$5:$N$104,0)),"")</f>
        <v>2</v>
      </c>
      <c r="E17" s="43">
        <f>IFERROR(INDEX($K$5:$K$104,MATCH(13,$N$5:$N$104,0)),"")</f>
        <v>0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22</v>
      </c>
    </row>
    <row r="18" spans="1:14" x14ac:dyDescent="0.55000000000000004">
      <c r="A18" s="43">
        <v>14</v>
      </c>
      <c r="B18" s="44" t="str">
        <f>IFERROR(INDEX($H$5:$H$104,MATCH(14,$N$5:$N$104,0)),"")</f>
        <v>Phantom 3</v>
      </c>
      <c r="C18" s="44" t="str">
        <f>IFERROR(INDEX($I$5:$I$104,MATCH(14,$N$5:$N$104,0)),"")</f>
        <v>Bosnia and Herzegovina</v>
      </c>
      <c r="D18" s="43">
        <f>IFERROR(INDEX($J$5:$J$104,MATCH(14,$N$5:$N$104,0)),"")</f>
        <v>2</v>
      </c>
      <c r="E18" s="43">
        <f>IFERROR(INDEX($K$5:$K$104,MATCH(14,$N$5:$N$104,0)),"")</f>
        <v>0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23</v>
      </c>
    </row>
    <row r="19" spans="1:14" x14ac:dyDescent="0.55000000000000004">
      <c r="A19" s="43">
        <v>15</v>
      </c>
      <c r="B19" s="44" t="str">
        <f>IFERROR(INDEX($H$5:$H$104,MATCH(15,$N$5:$N$104,0)),"")</f>
        <v>Tanya Olive</v>
      </c>
      <c r="C19" s="44" t="str">
        <f>IFERROR(INDEX($I$5:$I$104,MATCH(15,$N$5:$N$104,0)),"")</f>
        <v>England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24</v>
      </c>
    </row>
    <row r="20" spans="1:14" x14ac:dyDescent="0.55000000000000004">
      <c r="A20" s="43">
        <v>16</v>
      </c>
      <c r="B20" s="44" t="str">
        <f>IFERROR(INDEX($H$5:$H$104,MATCH(16,$N$5:$N$104,0)),"")</f>
        <v>Mitchell Wild</v>
      </c>
      <c r="C20" s="44" t="str">
        <f>IFERROR(INDEX($I$5:$I$104,MATCH(16,$N$5:$N$104,0)),"")</f>
        <v>Czechia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25</v>
      </c>
    </row>
    <row r="21" spans="1:14" x14ac:dyDescent="0.55000000000000004">
      <c r="A21" s="43">
        <v>17</v>
      </c>
      <c r="B21" s="44" t="str">
        <f>IFERROR(INDEX($H$5:$H$104,MATCH(17,$N$5:$N$104,0)),"")</f>
        <v>Mark Keppie</v>
      </c>
      <c r="C21" s="44" t="str">
        <f>IFERROR(INDEX($I$5:$I$104,MATCH(17,$N$5:$N$104,0)),"")</f>
        <v>Panama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26</v>
      </c>
    </row>
    <row r="22" spans="1:14" x14ac:dyDescent="0.55000000000000004">
      <c r="A22" s="43">
        <v>18</v>
      </c>
      <c r="B22" s="44" t="str">
        <f>IFERROR(INDEX($H$5:$H$104,MATCH(18,$N$5:$N$104,0)),"")</f>
        <v>Sarah Knowles</v>
      </c>
      <c r="C22" s="44" t="str">
        <f>IFERROR(INDEX($I$5:$I$104,MATCH(18,$N$5:$N$104,0)),"")</f>
        <v>Ecuador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27</v>
      </c>
    </row>
    <row r="23" spans="1:14" x14ac:dyDescent="0.55000000000000004">
      <c r="A23" s="43">
        <v>19</v>
      </c>
      <c r="B23" s="44" t="str">
        <f>IFERROR(INDEX($H$5:$H$104,MATCH(19,$N$5:$N$104,0)),"")</f>
        <v>Kate Ingrey</v>
      </c>
      <c r="C23" s="44" t="str">
        <f>IFERROR(INDEX($I$5:$I$104,MATCH(19,$N$5:$N$104,0)),"")</f>
        <v>Ivory Coast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28</v>
      </c>
    </row>
    <row r="24" spans="1:14" x14ac:dyDescent="0.55000000000000004">
      <c r="A24" s="43">
        <v>20</v>
      </c>
      <c r="B24" s="44" t="str">
        <f>IFERROR(INDEX($H$5:$H$104,MATCH(20,$N$5:$N$104,0)),"")</f>
        <v>Mitchell Thompson</v>
      </c>
      <c r="C24" s="44" t="str">
        <f>IFERROR(INDEX($I$5:$I$104,MATCH(20,$N$5:$N$104,0)),"")</f>
        <v>Portugal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3</v>
      </c>
    </row>
    <row r="25" spans="1:14" x14ac:dyDescent="0.55000000000000004">
      <c r="A25" s="43">
        <v>21</v>
      </c>
      <c r="B25" s="44" t="str">
        <f>IFERROR(INDEX($H$5:$H$104,MATCH(21,$N$5:$N$104,0)),"")</f>
        <v>Dionne Hunter</v>
      </c>
      <c r="C25" s="44" t="str">
        <f>IFERROR(INDEX($I$5:$I$104,MATCH(21,$N$5:$N$104,0)),"")</f>
        <v>Uzbekistan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29</v>
      </c>
    </row>
    <row r="26" spans="1:14" x14ac:dyDescent="0.55000000000000004">
      <c r="A26" s="43">
        <v>22</v>
      </c>
      <c r="B26" s="44" t="str">
        <f>IFERROR(INDEX($H$5:$H$104,MATCH(22,$N$5:$N$104,0)),"")</f>
        <v>Michael Curran</v>
      </c>
      <c r="C26" s="44" t="str">
        <f>IFERROR(INDEX($I$5:$I$104,MATCH(22,$N$5:$N$104,0)),"")</f>
        <v>France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10</v>
      </c>
    </row>
    <row r="27" spans="1:14" x14ac:dyDescent="0.55000000000000004">
      <c r="A27" s="43">
        <v>23</v>
      </c>
      <c r="B27" s="44" t="str">
        <f>IFERROR(INDEX($H$5:$H$104,MATCH(23,$N$5:$N$104,0)),"")</f>
        <v>Cyndie Bowen</v>
      </c>
      <c r="C27" s="44" t="str">
        <f>IFERROR(INDEX($I$5:$I$104,MATCH(23,$N$5:$N$104,0)),"")</f>
        <v>Tunisia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2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11</v>
      </c>
    </row>
    <row r="28" spans="1:14" x14ac:dyDescent="0.55000000000000004">
      <c r="A28" s="43">
        <v>24</v>
      </c>
      <c r="B28" s="44" t="str">
        <f>IFERROR(INDEX($H$5:$H$104,MATCH(24,$N$5:$N$104,0)),"")</f>
        <v>Helen Pennock</v>
      </c>
      <c r="C28" s="44" t="str">
        <f>IFERROR(INDEX($I$5:$I$104,MATCH(24,$N$5:$N$104,0)),"")</f>
        <v>Algeria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30</v>
      </c>
    </row>
    <row r="29" spans="1:14" x14ac:dyDescent="0.55000000000000004">
      <c r="A29" s="43">
        <v>25</v>
      </c>
      <c r="B29" s="44" t="str">
        <f>IFERROR(INDEX($H$5:$H$104,MATCH(25,$N$5:$N$104,0)),"")</f>
        <v>Brad McLaren</v>
      </c>
      <c r="C29" s="44" t="str">
        <f>IFERROR(INDEX($I$5:$I$104,MATCH(25,$N$5:$N$104,0)),"")</f>
        <v>Colombia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31</v>
      </c>
    </row>
    <row r="30" spans="1:14" x14ac:dyDescent="0.55000000000000004">
      <c r="A30" s="43">
        <v>26</v>
      </c>
      <c r="B30" s="44" t="str">
        <f>IFERROR(INDEX($H$5:$H$104,MATCH(26,$N$5:$N$104,0)),"")</f>
        <v>Cheari Lee</v>
      </c>
      <c r="C30" s="44" t="str">
        <f>IFERROR(INDEX($I$5:$I$104,MATCH(26,$N$5:$N$104,0)),"")</f>
        <v>Sweden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4</v>
      </c>
    </row>
    <row r="31" spans="1:14" x14ac:dyDescent="0.55000000000000004">
      <c r="A31" s="43">
        <v>27</v>
      </c>
      <c r="B31" s="44" t="str">
        <f>IFERROR(INDEX($H$5:$H$104,MATCH(27,$N$5:$N$104,0)),"")</f>
        <v>Hugh Kuiper</v>
      </c>
      <c r="C31" s="44" t="str">
        <f>IFERROR(INDEX($I$5:$I$104,MATCH(27,$N$5:$N$104,0)),"")</f>
        <v>Uruguay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12</v>
      </c>
    </row>
    <row r="32" spans="1:14" x14ac:dyDescent="0.55000000000000004">
      <c r="A32" s="43">
        <v>28</v>
      </c>
      <c r="B32" s="44" t="str">
        <f>IFERROR(INDEX($H$5:$H$104,MATCH(28,$N$5:$N$104,0)),"")</f>
        <v>Theo Panagopoulos</v>
      </c>
      <c r="C32" s="44" t="str">
        <f>IFERROR(INDEX($I$5:$I$104,MATCH(28,$N$5:$N$104,0)),"")</f>
        <v>Austria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32</v>
      </c>
    </row>
    <row r="33" spans="1:14" x14ac:dyDescent="0.55000000000000004">
      <c r="A33" s="43">
        <v>29</v>
      </c>
      <c r="B33" s="44" t="str">
        <f>IFERROR(INDEX($H$5:$H$104,MATCH(29,$N$5:$N$104,0)),"")</f>
        <v>Owen Saliba</v>
      </c>
      <c r="C33" s="44" t="str">
        <f>IFERROR(INDEX($I$5:$I$104,MATCH(29,$N$5:$N$104,0)),"")</f>
        <v>Egypt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33</v>
      </c>
    </row>
    <row r="34" spans="1:14" x14ac:dyDescent="0.55000000000000004">
      <c r="A34" s="43">
        <v>30</v>
      </c>
      <c r="B34" s="44" t="str">
        <f>IFERROR(INDEX($H$5:$H$104,MATCH(30,$N$5:$N$104,0)),"")</f>
        <v>Lorraine Medina</v>
      </c>
      <c r="C34" s="44" t="str">
        <f>IFERROR(INDEX($I$5:$I$104,MATCH(30,$N$5:$N$104,0)),"")</f>
        <v>Belgium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34</v>
      </c>
    </row>
    <row r="35" spans="1:14" x14ac:dyDescent="0.55000000000000004">
      <c r="A35" s="43">
        <v>31</v>
      </c>
      <c r="B35" s="44" t="str">
        <f>IFERROR(INDEX($H$5:$H$104,MATCH(31,$N$5:$N$104,0)),"")</f>
        <v>Gerard Corboz</v>
      </c>
      <c r="C35" s="44" t="str">
        <f>IFERROR(INDEX($I$5:$I$104,MATCH(31,$N$5:$N$104,0)),"")</f>
        <v>Spain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35</v>
      </c>
    </row>
    <row r="36" spans="1:14" x14ac:dyDescent="0.55000000000000004">
      <c r="A36" s="43">
        <v>32</v>
      </c>
      <c r="B36" s="44" t="str">
        <f>IFERROR(INDEX($H$5:$H$104,MATCH(32,$N$5:$N$104,0)),"")</f>
        <v>Tamara Evans</v>
      </c>
      <c r="C36" s="44" t="str">
        <f>IFERROR(INDEX($I$5:$I$104,MATCH(32,$N$5:$N$104,0)),"")</f>
        <v>Norway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36</v>
      </c>
    </row>
    <row r="37" spans="1:14" x14ac:dyDescent="0.55000000000000004">
      <c r="A37" s="43">
        <v>33</v>
      </c>
      <c r="B37" s="44" t="str">
        <f>IFERROR(INDEX($H$5:$H$104,MATCH(33,$N$5:$N$104,0)),"")</f>
        <v>Shane Shookry</v>
      </c>
      <c r="C37" s="44" t="str">
        <f>IFERROR(INDEX($I$5:$I$104,MATCH(33,$N$5:$N$104,0)),"")</f>
        <v>South Africa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37</v>
      </c>
    </row>
    <row r="38" spans="1:14" x14ac:dyDescent="0.55000000000000004">
      <c r="A38" s="43">
        <v>34</v>
      </c>
      <c r="B38" s="44" t="str">
        <f>IFERROR(INDEX($H$5:$H$104,MATCH(34,$N$5:$N$104,0)),"")</f>
        <v>Jigar Vashi</v>
      </c>
      <c r="C38" s="44" t="str">
        <f>IFERROR(INDEX($I$5:$I$104,MATCH(34,$N$5:$N$104,0)),"")</f>
        <v>Senegal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38</v>
      </c>
    </row>
    <row r="39" spans="1:14" x14ac:dyDescent="0.55000000000000004">
      <c r="A39" s="43">
        <v>35</v>
      </c>
      <c r="B39" s="44" t="str">
        <f>IFERROR(INDEX($H$5:$H$104,MATCH(35,$N$5:$N$104,0)),"")</f>
        <v>Theresa McDonough</v>
      </c>
      <c r="C39" s="44" t="str">
        <f>IFERROR(INDEX($I$5:$I$104,MATCH(35,$N$5:$N$104,0)),"")</f>
        <v>Iraq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2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13</v>
      </c>
    </row>
    <row r="40" spans="1:14" x14ac:dyDescent="0.55000000000000004">
      <c r="A40" s="43">
        <v>36</v>
      </c>
      <c r="B40" s="44" t="str">
        <f>IFERROR(INDEX($H$5:$H$104,MATCH(36,$N$5:$N$104,0)),"")</f>
        <v>Joel Geysen</v>
      </c>
      <c r="C40" s="44" t="str">
        <f>IFERROR(INDEX($I$5:$I$104,MATCH(36,$N$5:$N$104,0)),"")</f>
        <v>Croatia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39</v>
      </c>
    </row>
    <row r="41" spans="1:14" x14ac:dyDescent="0.55000000000000004">
      <c r="A41" s="43">
        <v>37</v>
      </c>
      <c r="B41" s="44" t="str">
        <f>IFERROR(INDEX($H$5:$H$104,MATCH(37,$N$5:$N$104,0)),"")</f>
        <v>Michael van Eldik</v>
      </c>
      <c r="C41" s="44" t="str">
        <f>IFERROR(INDEX($I$5:$I$104,MATCH(37,$N$5:$N$104,0)),"")</f>
        <v>Argentina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40</v>
      </c>
    </row>
    <row r="42" spans="1:14" x14ac:dyDescent="0.55000000000000004">
      <c r="A42" s="43">
        <v>38</v>
      </c>
      <c r="B42" s="44" t="str">
        <f>IFERROR(INDEX($H$5:$H$104,MATCH(38,$N$5:$N$104,0)),"")</f>
        <v>Rodney Teggins</v>
      </c>
      <c r="C42" s="44" t="str">
        <f>IFERROR(INDEX($I$5:$I$104,MATCH(38,$N$5:$N$104,0)),"")</f>
        <v>Türkiye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41</v>
      </c>
    </row>
    <row r="43" spans="1:14" x14ac:dyDescent="0.55000000000000004">
      <c r="A43" s="43">
        <v>39</v>
      </c>
      <c r="B43" s="44" t="str">
        <f>IFERROR(INDEX($H$5:$H$104,MATCH(39,$N$5:$N$104,0)),"")</f>
        <v>Reg Poonan</v>
      </c>
      <c r="C43" s="44" t="str">
        <f>IFERROR(INDEX($I$5:$I$104,MATCH(39,$N$5:$N$104,0)),"")</f>
        <v>Paraguay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5</v>
      </c>
    </row>
    <row r="44" spans="1:14" x14ac:dyDescent="0.55000000000000004">
      <c r="A44" s="43">
        <v>40</v>
      </c>
      <c r="B44" s="44" t="str">
        <f>IFERROR(INDEX($H$5:$H$104,MATCH(40,$N$5:$N$104,0)),"")</f>
        <v>Andrew Kagis</v>
      </c>
      <c r="C44" s="44" t="str">
        <f>IFERROR(INDEX($I$5:$I$104,MATCH(40,$N$5:$N$104,0)),"")</f>
        <v>Iran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6</v>
      </c>
    </row>
    <row r="45" spans="1:14" x14ac:dyDescent="0.55000000000000004">
      <c r="A45" s="43">
        <v>41</v>
      </c>
      <c r="B45" s="44" t="str">
        <f>IFERROR(INDEX($H$5:$H$104,MATCH(41,$N$5:$N$104,0)),"")</f>
        <v>Suhail Janardhanan</v>
      </c>
      <c r="C45" s="44" t="str">
        <f>IFERROR(INDEX($I$5:$I$104,MATCH(41,$N$5:$N$104,0)),"")</f>
        <v>DR Congo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42</v>
      </c>
    </row>
    <row r="46" spans="1:14" x14ac:dyDescent="0.55000000000000004">
      <c r="A46" s="43">
        <v>42</v>
      </c>
      <c r="B46" s="44" t="str">
        <f>IFERROR(INDEX($H$5:$H$104,MATCH(42,$N$5:$N$104,0)),"")</f>
        <v>Phantom 1</v>
      </c>
      <c r="C46" s="44" t="str">
        <f>IFERROR(INDEX($I$5:$I$104,MATCH(42,$N$5:$N$104,0)),"")</f>
        <v>Saudi Arabia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43</v>
      </c>
    </row>
    <row r="47" spans="1:14" x14ac:dyDescent="0.55000000000000004">
      <c r="A47" s="43">
        <v>43</v>
      </c>
      <c r="B47" s="44" t="str">
        <f>IFERROR(INDEX($H$5:$H$104,MATCH(43,$N$5:$N$104,0)),"")</f>
        <v>Phantom 2</v>
      </c>
      <c r="C47" s="44" t="str">
        <f>IFERROR(INDEX($I$5:$I$104,MATCH(43,$N$5:$N$104,0)),"")</f>
        <v>Jordan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14</v>
      </c>
    </row>
    <row r="48" spans="1:14" x14ac:dyDescent="0.55000000000000004">
      <c r="A48" s="43">
        <v>44</v>
      </c>
      <c r="B48" s="44" t="str">
        <f>IFERROR(INDEX($H$5:$H$104,MATCH(44,$N$5:$N$104,0)),"")</f>
        <v>Phantom 4</v>
      </c>
      <c r="C48" s="44" t="str">
        <f>IFERROR(INDEX($I$5:$I$104,MATCH(44,$N$5:$N$104,0)),"")</f>
        <v>Cape Verde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55000000000000004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55000000000000004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46</v>
      </c>
    </row>
    <row r="51" spans="1:14" x14ac:dyDescent="0.55000000000000004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47</v>
      </c>
    </row>
    <row r="52" spans="1:14" x14ac:dyDescent="0.55000000000000004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55000000000000004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55000000000000004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55000000000000004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55000000000000004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55000000000000004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55000000000000004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55000000000000004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55000000000000004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55000000000000004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55000000000000004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55000000000000004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55000000000000004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55000000000000004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55000000000000004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55000000000000004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55000000000000004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55000000000000004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55000000000000004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55000000000000004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55000000000000004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55000000000000004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55000000000000004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55000000000000004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55000000000000004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55000000000000004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55000000000000004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55000000000000004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55000000000000004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55000000000000004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55000000000000004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55000000000000004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55000000000000004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55000000000000004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55000000000000004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55000000000000004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55000000000000004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55000000000000004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55000000000000004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55000000000000004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55000000000000004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55000000000000004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55000000000000004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55000000000000004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55000000000000004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55000000000000004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55000000000000004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55000000000000004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55000000000000004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55000000000000004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55000000000000004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55000000000000004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55000000000000004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27" workbookViewId="0">
      <selection activeCell="G46" sqref="G46"/>
    </sheetView>
  </sheetViews>
  <sheetFormatPr defaultRowHeight="14.4" x14ac:dyDescent="0.55000000000000004"/>
  <cols>
    <col min="1" max="1" width="8" customWidth="1"/>
    <col min="2" max="2" width="25" customWidth="1"/>
    <col min="3" max="3" width="23.4179687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7">
      <c r="A1" s="1" t="s">
        <v>0</v>
      </c>
    </row>
    <row r="2" spans="1:23" x14ac:dyDescent="0.55000000000000004">
      <c r="A2" s="16" t="s">
        <v>1</v>
      </c>
    </row>
    <row r="4" spans="1:23" x14ac:dyDescent="0.55000000000000004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55000000000000004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55000000000000004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3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55000000000000004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4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55000000000000004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Julián Quiñones</v>
      </c>
      <c r="H8" s="51" t="str">
        <f>IFERROR(INDEX($Q$6:$Q$305,MATCH(3,$S$6:$S$305,0)),"")</f>
        <v>Mexico</v>
      </c>
      <c r="I8" s="50">
        <f>IFERROR(INDEX($R$6:$R$305,MATCH(3,$S$6:$S$305,0)),"")</f>
        <v>1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5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55000000000000004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Raúl Jiménez</v>
      </c>
      <c r="H9" s="44" t="str">
        <f>IFERROR(INDEX($Q$6:$Q$305,MATCH(4,$S$6:$S$305,0)),"")</f>
        <v>Mexico</v>
      </c>
      <c r="I9" s="43">
        <f>IFERROR(INDEX($R$6:$R$305,MATCH(4,$S$6:$S$305,0)),"")</f>
        <v>1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6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55000000000000004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Oh Hyeon-Gyu</v>
      </c>
      <c r="H10" s="44" t="str">
        <f>IFERROR(INDEX($Q$6:$Q$305,MATCH(5,$S$6:$S$305,0)),"")</f>
        <v>South Korea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7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55000000000000004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Hwang In-Beom</v>
      </c>
      <c r="H11" s="44" t="str">
        <f>IFERROR(INDEX($Q$6:$Q$305,MATCH(6,$S$6:$S$305,0)),"")</f>
        <v>South Korea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8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55000000000000004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L. Krejčí</v>
      </c>
      <c r="H12" s="44" t="str">
        <f>IFERROR(INDEX($Q$6:$Q$305,MATCH(7,$S$6:$S$305,0)),"")</f>
        <v>Czechia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9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55000000000000004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C Larin</v>
      </c>
      <c r="H13" s="44" t="str">
        <f>IFERROR(INDEX($Q$6:$Q$305,MATCH(8,$S$6:$S$305,0)),"")</f>
        <v>Canada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28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55000000000000004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J Lukic</v>
      </c>
      <c r="H14" s="44" t="str">
        <f>IFERROR(INDEX($Q$6:$Q$305,MATCH(9,$S$6:$S$305,0)),"")</f>
        <v>Bosnia and Herzegovina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55000000000000004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G Reyna</v>
      </c>
      <c r="H15" s="44" t="str">
        <f>IFERROR(INDEX($Q$6:$Q$305,MATCH(10,$S$6:$S$305,0)),"")</f>
        <v>United States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10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55000000000000004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Mauricio</v>
      </c>
      <c r="H16" s="44" t="str">
        <f>IFERROR(INDEX($Q$6:$Q$305,MATCH(11,$S$6:$S$305,0)),"")</f>
        <v>Paraguay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11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55000000000000004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J McGinn</v>
      </c>
      <c r="H17" s="44" t="str">
        <f>IFERROR(INDEX($Q$6:$Q$305,MATCH(12,$S$6:$S$305,0)),"")</f>
        <v>Scotland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12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55000000000000004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N Irankunda</v>
      </c>
      <c r="H18" s="44" t="str">
        <f>IFERROR(INDEX($Q$6:$Q$305,MATCH(13,$S$6:$S$305,0)),"")</f>
        <v>Australia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13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55000000000000004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C Metcalfe</v>
      </c>
      <c r="H19" s="44" t="str">
        <f>IFERROR(INDEX($Q$6:$Q$305,MATCH(14,$S$6:$S$305,0)),"")</f>
        <v>Australia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14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55000000000000004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Vinícius Júnior</v>
      </c>
      <c r="H20" s="44" t="str">
        <f>IFERROR(INDEX($Q$6:$Q$305,MATCH(15,$S$6:$S$305,0)),"")</f>
        <v>Brazil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15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55000000000000004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Ismael Saibari </v>
      </c>
      <c r="H21" s="44" t="str">
        <f>IFERROR(INDEX($Q$6:$Q$305,MATCH(16,$S$6:$S$305,0)),"")</f>
        <v>Morocco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16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55000000000000004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Breel Embolo</v>
      </c>
      <c r="H22" s="44" t="str">
        <f>IFERROR(INDEX($Q$6:$Q$305,MATCH(17,$S$6:$S$305,0)),"")</f>
        <v>Switzerland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29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55000000000000004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Felix Nmecha</v>
      </c>
      <c r="H23" s="44" t="str">
        <f>IFERROR(INDEX($Q$6:$Q$305,MATCH(18,$S$6:$S$305,0)),"")</f>
        <v>Germany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17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55000000000000004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Nico Schlotterbeck</v>
      </c>
      <c r="H24" s="44" t="str">
        <f>IFERROR(INDEX($Q$6:$Q$305,MATCH(19,$S$6:$S$305,0)),"")</f>
        <v>Germany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18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55000000000000004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Jamal Musiala</v>
      </c>
      <c r="H25" s="44" t="str">
        <f>IFERROR(INDEX($Q$6:$Q$305,MATCH(20,$S$6:$S$305,0)),"")</f>
        <v>Germany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19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55000000000000004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Nathaniel Brown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55000000000000004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Deniz Undav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20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55000000000000004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Livano Comenencia</v>
      </c>
      <c r="H28" s="44" t="str">
        <f>IFERROR(INDEX($Q$6:$Q$305,MATCH(23,$S$6:$S$305,0)),"")</f>
        <v>Curaçao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21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55000000000000004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V van Dijk</v>
      </c>
      <c r="H29" s="44" t="str">
        <f>IFERROR(INDEX($Q$6:$Q$305,MATCH(24,$S$6:$S$305,0)),"")</f>
        <v>Netherlands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22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55000000000000004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C Summerville</v>
      </c>
      <c r="H30" s="44" t="str">
        <f>IFERROR(INDEX($Q$6:$Q$305,MATCH(25,$S$6:$S$305,0)),"")</f>
        <v>Netherlands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23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55000000000000004">
      <c r="A31" s="43">
        <v>11</v>
      </c>
      <c r="B31" s="56" t="s">
        <v>389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K Nakamura</v>
      </c>
      <c r="H31" s="44" t="str">
        <f>IFERROR(INDEX($Q$6:$Q$305,MATCH(26,$S$6:$S$305,0)),"")</f>
        <v>Japan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24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55000000000000004">
      <c r="A32" s="43">
        <v>11</v>
      </c>
      <c r="B32" s="56" t="s">
        <v>390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D Kamada</v>
      </c>
      <c r="H32" s="44" t="str">
        <f>IFERROR(INDEX($Q$6:$Q$305,MATCH(27,$S$6:$S$305,0)),"")</f>
        <v>Japan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25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55000000000000004">
      <c r="A33" s="43">
        <v>11</v>
      </c>
      <c r="B33" s="56" t="s">
        <v>391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D Bobadilla OG</v>
      </c>
      <c r="H33" s="44" t="str">
        <f>IFERROR(INDEX($Q$6:$Q$305,MATCH(28,$S$6:$S$305,0)),"")</f>
        <v>United States</v>
      </c>
      <c r="I33" s="43">
        <f>IFERROR(INDEX($R$6:$R$305,MATCH(28,$S$6:$S$305,0)),"")</f>
        <v>0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26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55000000000000004">
      <c r="A34" s="43">
        <v>11</v>
      </c>
      <c r="B34" s="56" t="s">
        <v>392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Miro Muheim OG</v>
      </c>
      <c r="H34" s="44" t="str">
        <f>IFERROR(INDEX($Q$6:$Q$305,MATCH(29,$S$6:$S$305,0)),"")</f>
        <v>Qatar</v>
      </c>
      <c r="I34" s="43">
        <f>IFERROR(INDEX($R$6:$R$305,MATCH(29,$S$6:$S$305,0)),"")</f>
        <v>0</v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27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55000000000000004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55000000000000004">
      <c r="A36" s="43"/>
      <c r="B36" s="56"/>
      <c r="C36" s="56"/>
      <c r="D36" s="43"/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55000000000000004">
      <c r="A37" s="43"/>
      <c r="B37" s="56"/>
      <c r="C37" s="56"/>
      <c r="D37" s="43"/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55000000000000004">
      <c r="A38" s="43"/>
      <c r="B38" s="56"/>
      <c r="C38" s="56"/>
      <c r="D38" s="43"/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55000000000000004">
      <c r="A39" s="43"/>
      <c r="B39" s="56"/>
      <c r="C39" s="56"/>
      <c r="D39" s="43"/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55000000000000004">
      <c r="A40" s="43"/>
      <c r="B40" s="56"/>
      <c r="C40" s="56"/>
      <c r="D40" s="43"/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55000000000000004">
      <c r="A41" s="43"/>
      <c r="B41" s="56"/>
      <c r="C41" s="56"/>
      <c r="D41" s="43"/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55000000000000004">
      <c r="A42" s="43"/>
      <c r="B42" s="56"/>
      <c r="C42" s="56"/>
      <c r="D42" s="43"/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55000000000000004">
      <c r="A43" s="43"/>
      <c r="B43" s="56"/>
      <c r="C43" s="56"/>
      <c r="D43" s="43"/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55000000000000004">
      <c r="A44" s="43"/>
      <c r="B44" s="56"/>
      <c r="C44" s="56"/>
      <c r="D44" s="43"/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55000000000000004">
      <c r="A45" s="43"/>
      <c r="B45" s="56"/>
      <c r="C45" s="56"/>
      <c r="D45" s="43"/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55000000000000004">
      <c r="A46" s="43"/>
      <c r="B46" s="56"/>
      <c r="C46" s="56"/>
      <c r="D46" s="43"/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55000000000000004">
      <c r="A47" s="43"/>
      <c r="B47" s="56"/>
      <c r="C47" s="56"/>
      <c r="D47" s="43"/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55000000000000004">
      <c r="A48" s="43"/>
      <c r="B48" s="56"/>
      <c r="C48" s="56"/>
      <c r="D48" s="43"/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55000000000000004">
      <c r="A49" s="43"/>
      <c r="B49" s="56"/>
      <c r="C49" s="56"/>
      <c r="D49" s="43"/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55000000000000004">
      <c r="A50" s="43"/>
      <c r="B50" s="56"/>
      <c r="C50" s="56"/>
      <c r="D50" s="43"/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55000000000000004">
      <c r="A51" s="43"/>
      <c r="B51" s="56"/>
      <c r="C51" s="56"/>
      <c r="D51" s="43"/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55000000000000004">
      <c r="A52" s="43"/>
      <c r="B52" s="56"/>
      <c r="C52" s="56"/>
      <c r="D52" s="43"/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55000000000000004">
      <c r="A53" s="43"/>
      <c r="B53" s="56"/>
      <c r="C53" s="56"/>
      <c r="D53" s="43"/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55000000000000004">
      <c r="A54" s="43"/>
      <c r="B54" s="56"/>
      <c r="C54" s="56"/>
      <c r="D54" s="43"/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55000000000000004">
      <c r="A55" s="43"/>
      <c r="B55" s="56"/>
      <c r="C55" s="56"/>
      <c r="D55" s="43"/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55000000000000004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55000000000000004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55000000000000004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55000000000000004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55000000000000004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55000000000000004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55000000000000004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55000000000000004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55000000000000004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55000000000000004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55000000000000004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55000000000000004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55000000000000004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55000000000000004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55000000000000004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55000000000000004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55000000000000004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55000000000000004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55000000000000004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55000000000000004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55000000000000004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55000000000000004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55000000000000004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55000000000000004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55000000000000004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55000000000000004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55000000000000004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55000000000000004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55000000000000004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55000000000000004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55000000000000004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55000000000000004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55000000000000004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55000000000000004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55000000000000004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55000000000000004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55000000000000004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55000000000000004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55000000000000004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55000000000000004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55000000000000004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55000000000000004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55000000000000004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55000000000000004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55000000000000004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55000000000000004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55000000000000004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55000000000000004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55000000000000004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55000000000000004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55000000000000004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55000000000000004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55000000000000004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55000000000000004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55000000000000004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55000000000000004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55000000000000004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55000000000000004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55000000000000004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55000000000000004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55000000000000004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55000000000000004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55000000000000004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55000000000000004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55000000000000004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55000000000000004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55000000000000004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55000000000000004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55000000000000004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55000000000000004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55000000000000004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55000000000000004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55000000000000004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55000000000000004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55000000000000004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55000000000000004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55000000000000004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55000000000000004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55000000000000004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55000000000000004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55000000000000004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55000000000000004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55000000000000004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55000000000000004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55000000000000004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55000000000000004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55000000000000004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55000000000000004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55000000000000004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55000000000000004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55000000000000004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55000000000000004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55000000000000004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55000000000000004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55000000000000004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55000000000000004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55000000000000004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55000000000000004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55000000000000004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55000000000000004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55000000000000004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55000000000000004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55000000000000004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55000000000000004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55000000000000004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55000000000000004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55000000000000004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55000000000000004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55000000000000004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55000000000000004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55000000000000004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55000000000000004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55000000000000004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55000000000000004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55000000000000004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55000000000000004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55000000000000004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55000000000000004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55000000000000004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55000000000000004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55000000000000004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55000000000000004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55000000000000004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55000000000000004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55000000000000004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55000000000000004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55000000000000004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55000000000000004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55000000000000004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55000000000000004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55000000000000004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55000000000000004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55000000000000004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55000000000000004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55000000000000004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55000000000000004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55000000000000004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55000000000000004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55000000000000004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55000000000000004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55000000000000004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55000000000000004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55000000000000004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55000000000000004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55000000000000004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55000000000000004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55000000000000004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55000000000000004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55000000000000004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55000000000000004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55000000000000004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55000000000000004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55000000000000004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55000000000000004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55000000000000004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55000000000000004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55000000000000004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55000000000000004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55000000000000004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55000000000000004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55000000000000004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55000000000000004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55000000000000004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55000000000000004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55000000000000004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55000000000000004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55000000000000004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55000000000000004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55000000000000004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55000000000000004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55000000000000004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55000000000000004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55000000000000004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55000000000000004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55000000000000004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55000000000000004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55000000000000004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55000000000000004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55000000000000004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55000000000000004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55000000000000004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55000000000000004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55000000000000004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55000000000000004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55000000000000004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55000000000000004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55000000000000004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55000000000000004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55000000000000004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55000000000000004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55000000000000004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55000000000000004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55000000000000004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55000000000000004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55000000000000004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55000000000000004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55000000000000004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55000000000000004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55000000000000004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55000000000000004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55000000000000004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55000000000000004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55000000000000004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55000000000000004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55000000000000004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55000000000000004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55000000000000004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0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55000000000000004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55000000000000004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55000000000000004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55000000000000004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55000000000000004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55000000000000004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55000000000000004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55000000000000004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55000000000000004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55000000000000004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55000000000000004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55000000000000004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55000000000000004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55000000000000004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55000000000000004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55000000000000004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55000000000000004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55000000000000004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55000000000000004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55000000000000004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55000000000000004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55000000000000004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55000000000000004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55000000000000004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55000000000000004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55000000000000004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55000000000000004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55000000000000004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55000000000000004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55000000000000004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55000000000000004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55000000000000004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55000000000000004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55000000000000004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55000000000000004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55000000000000004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55000000000000004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55000000000000004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55000000000000004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55000000000000004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55000000000000004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55000000000000004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55000000000000004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4.4" x14ac:dyDescent="0.55000000000000004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7">
      <c r="A1" s="1" t="s">
        <v>298</v>
      </c>
    </row>
    <row r="2" spans="1:13" x14ac:dyDescent="0.55000000000000004">
      <c r="A2" s="16" t="s">
        <v>299</v>
      </c>
    </row>
    <row r="4" spans="1:13" x14ac:dyDescent="0.55000000000000004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55000000000000004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55000000000000004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55000000000000004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55000000000000004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55000000000000004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55000000000000004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55000000000000004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55000000000000004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55000000000000004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55000000000000004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55000000000000004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55000000000000004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55000000000000004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55000000000000004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55000000000000004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55000000000000004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55000000000000004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55000000000000004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55000000000000004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55000000000000004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55000000000000004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55000000000000004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55000000000000004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55000000000000004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55000000000000004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55000000000000004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55000000000000004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55000000000000004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55000000000000004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55000000000000004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55000000000000004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55000000000000004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55000000000000004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55000000000000004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55000000000000004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55000000000000004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55000000000000004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55000000000000004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55000000000000004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55000000000000004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55000000000000004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55000000000000004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55000000000000004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55000000000000004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55000000000000004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55000000000000004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55000000000000004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55000000000000004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55000000000000004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55000000000000004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55000000000000004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55000000000000004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55000000000000004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55000000000000004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55000000000000004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55000000000000004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55000000000000004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55000000000000004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55000000000000004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55000000000000004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55000000000000004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55000000000000004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55000000000000004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55000000000000004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55000000000000004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55000000000000004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55000000000000004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55000000000000004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55000000000000004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55000000000000004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55000000000000004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55000000000000004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55000000000000004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55000000000000004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55000000000000004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55000000000000004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55000000000000004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55000000000000004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55000000000000004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55000000000000004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55000000000000004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55000000000000004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55000000000000004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55000000000000004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55000000000000004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55000000000000004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55000000000000004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55000000000000004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55000000000000004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55000000000000004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55000000000000004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55000000000000004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55000000000000004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55000000000000004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55000000000000004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55000000000000004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55000000000000004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55000000000000004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55000000000000004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55000000000000004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2026-06-14T22:10:39Z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