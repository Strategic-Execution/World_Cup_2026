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024D2534-A562-4A5C-8AC2-41F6474631A6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J50" i="6" s="1"/>
  <c r="D50" i="6"/>
  <c r="K49" i="6"/>
  <c r="I49" i="6"/>
  <c r="H49" i="6"/>
  <c r="J49" i="6" s="1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E28" i="6"/>
  <c r="D28" i="6"/>
  <c r="K27" i="6"/>
  <c r="I27" i="6"/>
  <c r="H27" i="6"/>
  <c r="D27" i="6"/>
  <c r="K26" i="6"/>
  <c r="I26" i="6"/>
  <c r="H26" i="6"/>
  <c r="D26" i="6"/>
  <c r="K25" i="6"/>
  <c r="I25" i="6"/>
  <c r="H25" i="6"/>
  <c r="F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J19" i="6" s="1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J13" i="6" s="1"/>
  <c r="E13" i="6"/>
  <c r="D13" i="6"/>
  <c r="K12" i="6"/>
  <c r="I12" i="6"/>
  <c r="H12" i="6"/>
  <c r="G12" i="6"/>
  <c r="E12" i="6"/>
  <c r="D12" i="6"/>
  <c r="K11" i="6"/>
  <c r="I11" i="6"/>
  <c r="H11" i="6"/>
  <c r="G11" i="6"/>
  <c r="F11" i="6"/>
  <c r="E11" i="6"/>
  <c r="D11" i="6"/>
  <c r="K10" i="6"/>
  <c r="I10" i="6"/>
  <c r="H10" i="6"/>
  <c r="J10" i="6" s="1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G28" i="6" s="1"/>
  <c r="I62" i="5"/>
  <c r="H62" i="5"/>
  <c r="K61" i="5"/>
  <c r="J61" i="5"/>
  <c r="I61" i="5"/>
  <c r="H61" i="5"/>
  <c r="K60" i="5"/>
  <c r="J60" i="5"/>
  <c r="I60" i="5"/>
  <c r="H60" i="5"/>
  <c r="K59" i="5"/>
  <c r="E23" i="6" s="1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W105" i="8"/>
  <c r="V105" i="8"/>
  <c r="U105" i="8"/>
  <c r="T105" i="8"/>
  <c r="P105" i="8"/>
  <c r="S105" i="8" s="1"/>
  <c r="V104" i="8"/>
  <c r="U104" i="8"/>
  <c r="T104" i="8"/>
  <c r="W104" i="8" s="1"/>
  <c r="P104" i="8"/>
  <c r="S104" i="8" s="1"/>
  <c r="U103" i="8"/>
  <c r="V103" i="8" s="1"/>
  <c r="T103" i="8"/>
  <c r="W103" i="8" s="1"/>
  <c r="P103" i="8"/>
  <c r="R103" i="8" s="1"/>
  <c r="W102" i="8"/>
  <c r="U102" i="8"/>
  <c r="V102" i="8" s="1"/>
  <c r="T102" i="8"/>
  <c r="P102" i="8"/>
  <c r="U101" i="8"/>
  <c r="V101" i="8" s="1"/>
  <c r="T101" i="8"/>
  <c r="W101" i="8" s="1"/>
  <c r="P101" i="8"/>
  <c r="R101" i="8" s="1"/>
  <c r="W100" i="8"/>
  <c r="U100" i="8"/>
  <c r="V100" i="8" s="1"/>
  <c r="T100" i="8"/>
  <c r="P100" i="8"/>
  <c r="R100" i="8" s="1"/>
  <c r="V99" i="8"/>
  <c r="U99" i="8"/>
  <c r="T99" i="8"/>
  <c r="W99" i="8" s="1"/>
  <c r="P99" i="8"/>
  <c r="S99" i="8" s="1"/>
  <c r="W98" i="8"/>
  <c r="V98" i="8"/>
  <c r="U98" i="8"/>
  <c r="T98" i="8"/>
  <c r="P98" i="8"/>
  <c r="S98" i="8" s="1"/>
  <c r="W97" i="8"/>
  <c r="U97" i="8"/>
  <c r="V97" i="8" s="1"/>
  <c r="T97" i="8"/>
  <c r="P97" i="8"/>
  <c r="Q97" i="8" s="1"/>
  <c r="V96" i="8"/>
  <c r="U96" i="8"/>
  <c r="T96" i="8"/>
  <c r="W96" i="8" s="1"/>
  <c r="P96" i="8"/>
  <c r="S96" i="8" s="1"/>
  <c r="V95" i="8"/>
  <c r="U95" i="8"/>
  <c r="T95" i="8"/>
  <c r="W95" i="8" s="1"/>
  <c r="P95" i="8"/>
  <c r="R95" i="8" s="1"/>
  <c r="W94" i="8"/>
  <c r="V94" i="8"/>
  <c r="U94" i="8"/>
  <c r="T94" i="8"/>
  <c r="P94" i="8"/>
  <c r="R94" i="8" s="1"/>
  <c r="V93" i="8"/>
  <c r="U93" i="8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V87" i="8"/>
  <c r="U87" i="8"/>
  <c r="T87" i="8"/>
  <c r="P87" i="8"/>
  <c r="Q87" i="8" s="1"/>
  <c r="U86" i="8"/>
  <c r="V86" i="8" s="1"/>
  <c r="T86" i="8"/>
  <c r="W86" i="8" s="1"/>
  <c r="P86" i="8"/>
  <c r="S86" i="8" s="1"/>
  <c r="V85" i="8"/>
  <c r="U85" i="8"/>
  <c r="T85" i="8"/>
  <c r="W85" i="8" s="1"/>
  <c r="P85" i="8"/>
  <c r="S85" i="8" s="1"/>
  <c r="V84" i="8"/>
  <c r="U84" i="8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V79" i="8"/>
  <c r="U79" i="8"/>
  <c r="T79" i="8"/>
  <c r="W79" i="8" s="1"/>
  <c r="P79" i="8"/>
  <c r="V78" i="8"/>
  <c r="U78" i="8"/>
  <c r="T78" i="8"/>
  <c r="W78" i="8" s="1"/>
  <c r="P78" i="8"/>
  <c r="Q78" i="8" s="1"/>
  <c r="W77" i="8"/>
  <c r="U77" i="8"/>
  <c r="V77" i="8" s="1"/>
  <c r="T77" i="8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W73" i="8"/>
  <c r="V73" i="8"/>
  <c r="U73" i="8"/>
  <c r="T73" i="8"/>
  <c r="P73" i="8"/>
  <c r="W72" i="8"/>
  <c r="U72" i="8"/>
  <c r="V72" i="8" s="1"/>
  <c r="T72" i="8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V69" i="8"/>
  <c r="U69" i="8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V65" i="8"/>
  <c r="U65" i="8"/>
  <c r="T65" i="8"/>
  <c r="P65" i="8"/>
  <c r="R65" i="8" s="1"/>
  <c r="W64" i="8"/>
  <c r="V64" i="8"/>
  <c r="U64" i="8"/>
  <c r="T64" i="8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W59" i="8"/>
  <c r="V59" i="8"/>
  <c r="U59" i="8"/>
  <c r="T59" i="8"/>
  <c r="P59" i="8"/>
  <c r="U58" i="8"/>
  <c r="V58" i="8" s="1"/>
  <c r="T58" i="8"/>
  <c r="W58" i="8" s="1"/>
  <c r="P58" i="8"/>
  <c r="S58" i="8" s="1"/>
  <c r="W57" i="8"/>
  <c r="U57" i="8"/>
  <c r="V57" i="8" s="1"/>
  <c r="T57" i="8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V54" i="8"/>
  <c r="U54" i="8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V50" i="8"/>
  <c r="U50" i="8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S45" i="8" s="1"/>
  <c r="U44" i="8"/>
  <c r="V44" i="8" s="1"/>
  <c r="T44" i="8"/>
  <c r="P44" i="8"/>
  <c r="Q44" i="8" s="1"/>
  <c r="U43" i="8"/>
  <c r="V43" i="8" s="1"/>
  <c r="T43" i="8"/>
  <c r="P43" i="8"/>
  <c r="S43" i="8" s="1"/>
  <c r="U42" i="8"/>
  <c r="V42" i="8" s="1"/>
  <c r="T42" i="8"/>
  <c r="P42" i="8"/>
  <c r="S42" i="8" s="1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S34" i="8" s="1"/>
  <c r="U33" i="8"/>
  <c r="V33" i="8" s="1"/>
  <c r="T33" i="8"/>
  <c r="P33" i="8"/>
  <c r="S33" i="8" s="1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S30" i="8" s="1"/>
  <c r="U29" i="8"/>
  <c r="V29" i="8" s="1"/>
  <c r="T29" i="8"/>
  <c r="P29" i="8"/>
  <c r="Q29" i="8" s="1"/>
  <c r="U28" i="8"/>
  <c r="V28" i="8" s="1"/>
  <c r="T28" i="8"/>
  <c r="P28" i="8"/>
  <c r="S28" i="8" s="1"/>
  <c r="U27" i="8"/>
  <c r="V27" i="8" s="1"/>
  <c r="T27" i="8"/>
  <c r="P27" i="8"/>
  <c r="S27" i="8" s="1"/>
  <c r="U26" i="8"/>
  <c r="V26" i="8" s="1"/>
  <c r="T26" i="8"/>
  <c r="P26" i="8"/>
  <c r="R26" i="8" s="1"/>
  <c r="U25" i="8"/>
  <c r="V25" i="8" s="1"/>
  <c r="T25" i="8"/>
  <c r="P25" i="8"/>
  <c r="S25" i="8" s="1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S18" i="8" s="1"/>
  <c r="U17" i="8"/>
  <c r="V17" i="8" s="1"/>
  <c r="T17" i="8"/>
  <c r="P17" i="8"/>
  <c r="S17" i="8" s="1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J32" i="6" l="1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S50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S20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S37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47" i="8"/>
  <c r="S210" i="8"/>
  <c r="Q200" i="8"/>
  <c r="S257" i="8"/>
  <c r="R200" i="8"/>
  <c r="S12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S13" i="8"/>
  <c r="R259" i="8"/>
  <c r="R9" i="8"/>
  <c r="Q101" i="8"/>
  <c r="R205" i="8"/>
  <c r="S250" i="8"/>
  <c r="S35" i="8"/>
  <c r="S44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S22" i="8"/>
  <c r="S26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S15" i="8"/>
  <c r="Q209" i="8"/>
  <c r="Q28" i="8"/>
  <c r="Q33" i="8"/>
  <c r="R41" i="8"/>
  <c r="R28" i="8"/>
  <c r="R33" i="8"/>
  <c r="Q37" i="8"/>
  <c r="S41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S23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S31" i="8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S38" i="8"/>
  <c r="R38" i="8"/>
  <c r="Q38" i="8"/>
  <c r="Q116" i="8"/>
  <c r="S161" i="8"/>
  <c r="R161" i="8"/>
  <c r="Q161" i="8"/>
  <c r="S211" i="8"/>
  <c r="S269" i="8"/>
  <c r="S277" i="8"/>
  <c r="S293" i="8"/>
  <c r="S14" i="8"/>
  <c r="S19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" i="8"/>
  <c r="S295" i="8"/>
  <c r="R295" i="8"/>
  <c r="Q295" i="8"/>
  <c r="S21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S32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S11" i="8"/>
  <c r="S16" i="8"/>
  <c r="S24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S36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S40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10" i="8" l="1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H10" i="8" l="1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<sst xmlns="http://schemas.openxmlformats.org/spreadsheetml/2006/main" count="1016" uniqueCount="369">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</sst>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workbookViewId="0">
      <selection activeCell="B7" sqref="B7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C5" sqref="C5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workbookViewId="0">
      <selection activeCell="F8" sqref="F8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/>
      <c r="F7" s="21"/>
      <c r="G7" s="22" t="s">
        <v>87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/>
      <c r="F8" s="23"/>
      <c r="G8" s="24" t="s">
        <v>97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/>
      <c r="F9" s="25"/>
      <c r="G9" s="26" t="s">
        <v>94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/>
      <c r="F10" s="23"/>
      <c r="G10" s="24" t="s">
        <v>99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/>
      <c r="F11" s="25"/>
      <c r="G11" s="26" t="s">
        <v>92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/>
      <c r="F12" s="21"/>
      <c r="G12" s="22" t="s">
        <v>89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/>
      <c r="F13" s="27"/>
      <c r="G13" s="28" t="s">
        <v>104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/>
      <c r="F14" s="27"/>
      <c r="G14" s="28" t="s">
        <v>102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/>
      <c r="F15" s="29"/>
      <c r="G15" s="30" t="s">
        <v>107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/>
      <c r="F16" s="29"/>
      <c r="G16" s="30" t="s">
        <v>109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/>
      <c r="F17" s="31"/>
      <c r="G17" s="32" t="s">
        <v>119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/>
      <c r="F18" s="31"/>
      <c r="G18" s="32" t="s">
        <v>117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/>
      <c r="F20" s="33"/>
      <c r="G20" s="34" t="s">
        <v>112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Connor Scicluna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3</v>
      </c>
    </row>
    <row r="6" spans="1:14" x14ac:dyDescent="0.25">
      <c r="A6" s="48">
        <v>2</v>
      </c>
      <c r="B6" s="49" t="str">
        <f>IFERROR(INDEX($H$5:$H$104,MATCH(2,$N$5:$N$104,0)),"")</f>
        <v>Kamini Gounder</v>
      </c>
      <c r="C6" s="49" t="str">
        <f>IFERROR(INDEX($I$5:$I$104,MATCH(2,$N$5:$N$104,0)),"")</f>
        <v>South Korea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4</v>
      </c>
    </row>
    <row r="7" spans="1:14" x14ac:dyDescent="0.25">
      <c r="A7" s="50">
        <v>3</v>
      </c>
      <c r="B7" s="51" t="str">
        <f>IFERROR(INDEX($H$5:$H$104,MATCH(3,$N$5:$N$104,0)),"")</f>
        <v>Elizabeth Delfs</v>
      </c>
      <c r="C7" s="51" t="str">
        <f>IFERROR(INDEX($I$5:$I$104,MATCH(3,$N$5:$N$104,0)),"")</f>
        <v>Scotland</v>
      </c>
      <c r="D7" s="50">
        <f>IFERROR(INDEX($J$5:$J$104,MATCH(3,$N$5:$N$104,0)),"")</f>
        <v>0</v>
      </c>
      <c r="E7" s="50">
        <f>IFERROR(INDEX($K$5:$K$104,MATCH(3,$N$5:$N$104,0)),"")</f>
        <v>0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5</v>
      </c>
    </row>
    <row r="8" spans="1:14" x14ac:dyDescent="0.25">
      <c r="A8" s="43">
        <v>4</v>
      </c>
      <c r="B8" s="44" t="str">
        <f>IFERROR(INDEX($H$5:$H$104,MATCH(4,$N$5:$N$104,0)),"")</f>
        <v>Angelique Bilyk</v>
      </c>
      <c r="C8" s="44" t="str">
        <f>IFERROR(INDEX($I$5:$I$104,MATCH(4,$N$5:$N$104,0)),"")</f>
        <v>Germany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6</v>
      </c>
    </row>
    <row r="9" spans="1:14" x14ac:dyDescent="0.25">
      <c r="A9" s="43">
        <v>5</v>
      </c>
      <c r="B9" s="44" t="str">
        <f>IFERROR(INDEX($H$5:$H$104,MATCH(5,$N$5:$N$104,0)),"")</f>
        <v>Tanya Olive</v>
      </c>
      <c r="C9" s="44" t="str">
        <f>IFERROR(INDEX($I$5:$I$104,MATCH(5,$N$5:$N$104,0)),"")</f>
        <v>England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7</v>
      </c>
    </row>
    <row r="10" spans="1:14" x14ac:dyDescent="0.25">
      <c r="A10" s="43">
        <v>6</v>
      </c>
      <c r="B10" s="44" t="str">
        <f>IFERROR(INDEX($H$5:$H$104,MATCH(6,$N$5:$N$104,0)),"")</f>
        <v>Mitchell Wild</v>
      </c>
      <c r="C10" s="44" t="str">
        <f>IFERROR(INDEX($I$5:$I$104,MATCH(6,$N$5:$N$104,0)),"")</f>
        <v>Czechia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8</v>
      </c>
    </row>
    <row r="11" spans="1:14" x14ac:dyDescent="0.25">
      <c r="A11" s="43">
        <v>7</v>
      </c>
      <c r="B11" s="44" t="str">
        <f>IFERROR(INDEX($H$5:$H$104,MATCH(7,$N$5:$N$104,0)),"")</f>
        <v>Andrew Sinnott</v>
      </c>
      <c r="C11" s="44" t="str">
        <f>IFERROR(INDEX($I$5:$I$104,MATCH(7,$N$5:$N$104,0)),"")</f>
        <v>Switzerland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9</v>
      </c>
    </row>
    <row r="12" spans="1:14" x14ac:dyDescent="0.25">
      <c r="A12" s="43">
        <v>8</v>
      </c>
      <c r="B12" s="44" t="str">
        <f>IFERROR(INDEX($H$5:$H$104,MATCH(8,$N$5:$N$104,0)),"")</f>
        <v>Mark Keppie</v>
      </c>
      <c r="C12" s="44" t="str">
        <f>IFERROR(INDEX($I$5:$I$104,MATCH(8,$N$5:$N$104,0)),"")</f>
        <v>Panama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10</v>
      </c>
    </row>
    <row r="13" spans="1:14" x14ac:dyDescent="0.25">
      <c r="A13" s="43">
        <v>9</v>
      </c>
      <c r="B13" s="44" t="str">
        <f>IFERROR(INDEX($H$5:$H$104,MATCH(9,$N$5:$N$104,0)),"")</f>
        <v>Sarah Knowles</v>
      </c>
      <c r="C13" s="44" t="str">
        <f>IFERROR(INDEX($I$5:$I$104,MATCH(9,$N$5:$N$104,0)),"")</f>
        <v>Ecuador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11</v>
      </c>
    </row>
    <row r="14" spans="1:14" x14ac:dyDescent="0.25">
      <c r="A14" s="43">
        <v>10</v>
      </c>
      <c r="B14" s="44" t="str">
        <f>IFERROR(INDEX($H$5:$H$104,MATCH(10,$N$5:$N$104,0)),"")</f>
        <v>Kate Ingrey</v>
      </c>
      <c r="C14" s="44" t="str">
        <f>IFERROR(INDEX($I$5:$I$104,MATCH(10,$N$5:$N$104,0)),"")</f>
        <v>Ivory Coast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12</v>
      </c>
    </row>
    <row r="15" spans="1:14" x14ac:dyDescent="0.25">
      <c r="A15" s="43">
        <v>11</v>
      </c>
      <c r="B15" s="44" t="str">
        <f>IFERROR(INDEX($H$5:$H$104,MATCH(11,$N$5:$N$104,0)),"")</f>
        <v>Mitchell Thompson</v>
      </c>
      <c r="C15" s="44" t="str">
        <f>IFERROR(INDEX($I$5:$I$104,MATCH(11,$N$5:$N$104,0)),"")</f>
        <v>Portugal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13</v>
      </c>
    </row>
    <row r="16" spans="1:14" x14ac:dyDescent="0.25">
      <c r="A16" s="43">
        <v>12</v>
      </c>
      <c r="B16" s="44" t="str">
        <f>IFERROR(INDEX($H$5:$H$104,MATCH(12,$N$5:$N$104,0)),"")</f>
        <v>Krystal Gerrie</v>
      </c>
      <c r="C16" s="44" t="str">
        <f>IFERROR(INDEX($I$5:$I$104,MATCH(12,$N$5:$N$104,0)),"")</f>
        <v>Morocco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14</v>
      </c>
    </row>
    <row r="17" spans="1:14" x14ac:dyDescent="0.25">
      <c r="A17" s="43">
        <v>13</v>
      </c>
      <c r="B17" s="44" t="str">
        <f>IFERROR(INDEX($H$5:$H$104,MATCH(13,$N$5:$N$104,0)),"")</f>
        <v>Dionne Hunter</v>
      </c>
      <c r="C17" s="44" t="str">
        <f>IFERROR(INDEX($I$5:$I$104,MATCH(13,$N$5:$N$104,0)),"")</f>
        <v>Uzbekistan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15</v>
      </c>
    </row>
    <row r="18" spans="1:14" x14ac:dyDescent="0.25">
      <c r="A18" s="43">
        <v>14</v>
      </c>
      <c r="B18" s="44" t="str">
        <f>IFERROR(INDEX($H$5:$H$104,MATCH(14,$N$5:$N$104,0)),"")</f>
        <v>Matthew Johnson</v>
      </c>
      <c r="C18" s="44" t="str">
        <f>IFERROR(INDEX($I$5:$I$104,MATCH(14,$N$5:$N$104,0)),"")</f>
        <v>Qatar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16</v>
      </c>
    </row>
    <row r="19" spans="1:14" x14ac:dyDescent="0.25">
      <c r="A19" s="43">
        <v>15</v>
      </c>
      <c r="B19" s="44" t="str">
        <f>IFERROR(INDEX($H$5:$H$104,MATCH(15,$N$5:$N$104,0)),"")</f>
        <v>Michael Curran</v>
      </c>
      <c r="C19" s="44" t="str">
        <f>IFERROR(INDEX($I$5:$I$104,MATCH(15,$N$5:$N$104,0)),"")</f>
        <v>France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17</v>
      </c>
    </row>
    <row r="20" spans="1:14" x14ac:dyDescent="0.25">
      <c r="A20" s="43">
        <v>16</v>
      </c>
      <c r="B20" s="44" t="str">
        <f>IFERROR(INDEX($H$5:$H$104,MATCH(16,$N$5:$N$104,0)),"")</f>
        <v>Cyndie Bowen</v>
      </c>
      <c r="C20" s="44" t="str">
        <f>IFERROR(INDEX($I$5:$I$104,MATCH(16,$N$5:$N$104,0)),"")</f>
        <v>Tunisia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18</v>
      </c>
    </row>
    <row r="21" spans="1:14" x14ac:dyDescent="0.25">
      <c r="A21" s="43">
        <v>17</v>
      </c>
      <c r="B21" s="44" t="str">
        <f>IFERROR(INDEX($H$5:$H$104,MATCH(17,$N$5:$N$104,0)),"")</f>
        <v>Helen Pennock</v>
      </c>
      <c r="C21" s="44" t="str">
        <f>IFERROR(INDEX($I$5:$I$104,MATCH(17,$N$5:$N$104,0)),"")</f>
        <v>Algeria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19</v>
      </c>
    </row>
    <row r="22" spans="1:14" x14ac:dyDescent="0.25">
      <c r="A22" s="43">
        <v>18</v>
      </c>
      <c r="B22" s="44" t="str">
        <f>IFERROR(INDEX($H$5:$H$104,MATCH(18,$N$5:$N$104,0)),"")</f>
        <v>Brad McLaren</v>
      </c>
      <c r="C22" s="44" t="str">
        <f>IFERROR(INDEX($I$5:$I$104,MATCH(18,$N$5:$N$104,0)),"")</f>
        <v>Colombia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20</v>
      </c>
    </row>
    <row r="23" spans="1:14" x14ac:dyDescent="0.25">
      <c r="A23" s="43">
        <v>19</v>
      </c>
      <c r="B23" s="44" t="str">
        <f>IFERROR(INDEX($H$5:$H$104,MATCH(19,$N$5:$N$104,0)),"")</f>
        <v>Cheari Lee</v>
      </c>
      <c r="C23" s="44" t="str">
        <f>IFERROR(INDEX($I$5:$I$104,MATCH(19,$N$5:$N$104,0)),"")</f>
        <v>Sweden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21</v>
      </c>
    </row>
    <row r="24" spans="1:14" x14ac:dyDescent="0.25">
      <c r="A24" s="43">
        <v>20</v>
      </c>
      <c r="B24" s="44" t="str">
        <f>IFERROR(INDEX($H$5:$H$104,MATCH(20,$N$5:$N$104,0)),"")</f>
        <v>Hugh Kuiper</v>
      </c>
      <c r="C24" s="44" t="str">
        <f>IFERROR(INDEX($I$5:$I$104,MATCH(20,$N$5:$N$104,0)),"")</f>
        <v>Uruguay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Theo Panagopoulos</v>
      </c>
      <c r="C25" s="44" t="str">
        <f>IFERROR(INDEX($I$5:$I$104,MATCH(21,$N$5:$N$104,0)),"")</f>
        <v>Austria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22</v>
      </c>
    </row>
    <row r="26" spans="1:14" x14ac:dyDescent="0.25">
      <c r="A26" s="43">
        <v>22</v>
      </c>
      <c r="B26" s="44" t="str">
        <f>IFERROR(INDEX($H$5:$H$104,MATCH(22,$N$5:$N$104,0)),"")</f>
        <v>Owen Saliba</v>
      </c>
      <c r="C26" s="44" t="str">
        <f>IFERROR(INDEX($I$5:$I$104,MATCH(22,$N$5:$N$104,0)),"")</f>
        <v>Egypt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23</v>
      </c>
    </row>
    <row r="27" spans="1:14" x14ac:dyDescent="0.25">
      <c r="A27" s="43">
        <v>23</v>
      </c>
      <c r="B27" s="44" t="str">
        <f>IFERROR(INDEX($H$5:$H$104,MATCH(23,$N$5:$N$104,0)),"")</f>
        <v>Kate Higgs</v>
      </c>
      <c r="C27" s="44" t="str">
        <f>IFERROR(INDEX($I$5:$I$104,MATCH(23,$N$5:$N$104,0)),"")</f>
        <v>Canada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24</v>
      </c>
    </row>
    <row r="28" spans="1:14" x14ac:dyDescent="0.25">
      <c r="A28" s="43">
        <v>24</v>
      </c>
      <c r="B28" s="44" t="str">
        <f>IFERROR(INDEX($H$5:$H$104,MATCH(24,$N$5:$N$104,0)),"")</f>
        <v>Jackson Whiteside</v>
      </c>
      <c r="C28" s="44" t="str">
        <f>IFERROR(INDEX($I$5:$I$104,MATCH(24,$N$5:$N$104,0)),"")</f>
        <v>Japan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25</v>
      </c>
    </row>
    <row r="29" spans="1:14" x14ac:dyDescent="0.25">
      <c r="A29" s="43">
        <v>25</v>
      </c>
      <c r="B29" s="44" t="str">
        <f>IFERROR(INDEX($H$5:$H$104,MATCH(25,$N$5:$N$104,0)),"")</f>
        <v>Lorraine Medina</v>
      </c>
      <c r="C29" s="44" t="str">
        <f>IFERROR(INDEX($I$5:$I$104,MATCH(25,$N$5:$N$104,0)),"")</f>
        <v>Belgium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26</v>
      </c>
    </row>
    <row r="30" spans="1:14" x14ac:dyDescent="0.25">
      <c r="A30" s="43">
        <v>26</v>
      </c>
      <c r="B30" s="44" t="str">
        <f>IFERROR(INDEX($H$5:$H$104,MATCH(26,$N$5:$N$104,0)),"")</f>
        <v>Gerard Corboz</v>
      </c>
      <c r="C30" s="44" t="str">
        <f>IFERROR(INDEX($I$5:$I$104,MATCH(26,$N$5:$N$104,0)),"")</f>
        <v>Spain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27</v>
      </c>
    </row>
    <row r="31" spans="1:14" x14ac:dyDescent="0.25">
      <c r="A31" s="43">
        <v>27</v>
      </c>
      <c r="B31" s="44" t="str">
        <f>IFERROR(INDEX($H$5:$H$104,MATCH(27,$N$5:$N$104,0)),"")</f>
        <v>Prasantha Nandulamatam</v>
      </c>
      <c r="C31" s="44" t="str">
        <f>IFERROR(INDEX($I$5:$I$104,MATCH(27,$N$5:$N$104,0)),"")</f>
        <v>Australia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28</v>
      </c>
    </row>
    <row r="32" spans="1:14" x14ac:dyDescent="0.25">
      <c r="A32" s="43">
        <v>28</v>
      </c>
      <c r="B32" s="44" t="str">
        <f>IFERROR(INDEX($H$5:$H$104,MATCH(28,$N$5:$N$104,0)),"")</f>
        <v>Beau Prendergast</v>
      </c>
      <c r="C32" s="44" t="str">
        <f>IFERROR(INDEX($I$5:$I$104,MATCH(28,$N$5:$N$104,0)),"")</f>
        <v>Brazil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29</v>
      </c>
    </row>
    <row r="33" spans="1:14" x14ac:dyDescent="0.25">
      <c r="A33" s="43">
        <v>29</v>
      </c>
      <c r="B33" s="44" t="str">
        <f>IFERROR(INDEX($H$5:$H$104,MATCH(29,$N$5:$N$104,0)),"")</f>
        <v>Tamara Evans</v>
      </c>
      <c r="C33" s="44" t="str">
        <f>IFERROR(INDEX($I$5:$I$104,MATCH(29,$N$5:$N$104,0)),"")</f>
        <v>Norway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30</v>
      </c>
    </row>
    <row r="34" spans="1:14" x14ac:dyDescent="0.25">
      <c r="A34" s="43">
        <v>30</v>
      </c>
      <c r="B34" s="44" t="str">
        <f>IFERROR(INDEX($H$5:$H$104,MATCH(30,$N$5:$N$104,0)),"")</f>
        <v>Shane Shookry</v>
      </c>
      <c r="C34" s="44" t="str">
        <f>IFERROR(INDEX($I$5:$I$104,MATCH(30,$N$5:$N$104,0)),"")</f>
        <v>South Africa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31</v>
      </c>
    </row>
    <row r="35" spans="1:14" x14ac:dyDescent="0.25">
      <c r="A35" s="43">
        <v>31</v>
      </c>
      <c r="B35" s="44" t="str">
        <f>IFERROR(INDEX($H$5:$H$104,MATCH(31,$N$5:$N$104,0)),"")</f>
        <v>Jigar Vashi</v>
      </c>
      <c r="C35" s="44" t="str">
        <f>IFERROR(INDEX($I$5:$I$104,MATCH(31,$N$5:$N$104,0)),"")</f>
        <v>Senegal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32</v>
      </c>
    </row>
    <row r="36" spans="1:14" x14ac:dyDescent="0.25">
      <c r="A36" s="43">
        <v>32</v>
      </c>
      <c r="B36" s="44" t="str">
        <f>IFERROR(INDEX($H$5:$H$104,MATCH(32,$N$5:$N$104,0)),"")</f>
        <v>Theresa McDonough</v>
      </c>
      <c r="C36" s="44" t="str">
        <f>IFERROR(INDEX($I$5:$I$104,MATCH(32,$N$5:$N$104,0)),"")</f>
        <v>Iraq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33</v>
      </c>
    </row>
    <row r="37" spans="1:14" x14ac:dyDescent="0.25">
      <c r="A37" s="43">
        <v>33</v>
      </c>
      <c r="B37" s="44" t="str">
        <f>IFERROR(INDEX($H$5:$H$104,MATCH(33,$N$5:$N$104,0)),"")</f>
        <v>Joel Geysen</v>
      </c>
      <c r="C37" s="44" t="str">
        <f>IFERROR(INDEX($I$5:$I$104,MATCH(33,$N$5:$N$104,0)),"")</f>
        <v>Croatia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34</v>
      </c>
    </row>
    <row r="38" spans="1:14" x14ac:dyDescent="0.25">
      <c r="A38" s="43">
        <v>34</v>
      </c>
      <c r="B38" s="44" t="str">
        <f>IFERROR(INDEX($H$5:$H$104,MATCH(34,$N$5:$N$104,0)),"")</f>
        <v>Michael van Eldik</v>
      </c>
      <c r="C38" s="44" t="str">
        <f>IFERROR(INDEX($I$5:$I$104,MATCH(34,$N$5:$N$104,0)),"")</f>
        <v>Argentina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35</v>
      </c>
    </row>
    <row r="39" spans="1:14" x14ac:dyDescent="0.25">
      <c r="A39" s="43">
        <v>35</v>
      </c>
      <c r="B39" s="44" t="str">
        <f>IFERROR(INDEX($H$5:$H$104,MATCH(35,$N$5:$N$104,0)),"")</f>
        <v>Rodney Teggins</v>
      </c>
      <c r="C39" s="44" t="str">
        <f>IFERROR(INDEX($I$5:$I$104,MATCH(35,$N$5:$N$104,0)),"")</f>
        <v>Türkiye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36</v>
      </c>
    </row>
    <row r="40" spans="1:14" x14ac:dyDescent="0.25">
      <c r="A40" s="43">
        <v>36</v>
      </c>
      <c r="B40" s="44" t="str">
        <f>IFERROR(INDEX($H$5:$H$104,MATCH(36,$N$5:$N$104,0)),"")</f>
        <v>Joel Reid</v>
      </c>
      <c r="C40" s="44" t="str">
        <f>IFERROR(INDEX($I$5:$I$104,MATCH(36,$N$5:$N$104,0)),"")</f>
        <v>Netherlands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37</v>
      </c>
    </row>
    <row r="41" spans="1:14" x14ac:dyDescent="0.25">
      <c r="A41" s="43">
        <v>37</v>
      </c>
      <c r="B41" s="44" t="str">
        <f>IFERROR(INDEX($H$5:$H$104,MATCH(37,$N$5:$N$104,0)),"")</f>
        <v>Reg Poonan</v>
      </c>
      <c r="C41" s="44" t="str">
        <f>IFERROR(INDEX($I$5:$I$104,MATCH(37,$N$5:$N$104,0)),"")</f>
        <v>Paraguay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38</v>
      </c>
    </row>
    <row r="42" spans="1:14" x14ac:dyDescent="0.25">
      <c r="A42" s="43">
        <v>38</v>
      </c>
      <c r="B42" s="44" t="str">
        <f>IFERROR(INDEX($H$5:$H$104,MATCH(38,$N$5:$N$104,0)),"")</f>
        <v>Andrew Kagis</v>
      </c>
      <c r="C42" s="44" t="str">
        <f>IFERROR(INDEX($I$5:$I$104,MATCH(38,$N$5:$N$104,0)),"")</f>
        <v>Iran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39</v>
      </c>
    </row>
    <row r="43" spans="1:14" x14ac:dyDescent="0.25">
      <c r="A43" s="43">
        <v>39</v>
      </c>
      <c r="B43" s="44" t="str">
        <f>IFERROR(INDEX($H$5:$H$104,MATCH(39,$N$5:$N$104,0)),"")</f>
        <v>Suhail Janardhanan</v>
      </c>
      <c r="C43" s="44" t="str">
        <f>IFERROR(INDEX($I$5:$I$104,MATCH(39,$N$5:$N$104,0)),"")</f>
        <v>DR Congo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40</v>
      </c>
    </row>
    <row r="44" spans="1:14" x14ac:dyDescent="0.25">
      <c r="A44" s="43">
        <v>40</v>
      </c>
      <c r="B44" s="44" t="str">
        <f>IFERROR(INDEX($H$5:$H$104,MATCH(40,$N$5:$N$104,0)),"")</f>
        <v>Sean Farley</v>
      </c>
      <c r="C44" s="44" t="str">
        <f>IFERROR(INDEX($I$5:$I$104,MATCH(40,$N$5:$N$104,0)),"")</f>
        <v>United States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2</v>
      </c>
    </row>
    <row r="45" spans="1:14" x14ac:dyDescent="0.25">
      <c r="A45" s="43">
        <v>41</v>
      </c>
      <c r="B45" s="44" t="str">
        <f>IFERROR(INDEX($H$5:$H$104,MATCH(41,$N$5:$N$104,0)),"")</f>
        <v>Phantom 1</v>
      </c>
      <c r="C45" s="44" t="str">
        <f>IFERROR(INDEX($I$5:$I$104,MATCH(41,$N$5:$N$104,0)),"")</f>
        <v>Saudi Arabia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Phantom 2</v>
      </c>
      <c r="C46" s="44" t="str">
        <f>IFERROR(INDEX($I$5:$I$104,MATCH(42,$N$5:$N$104,0)),"")</f>
        <v>Jordan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Phantom 3</v>
      </c>
      <c r="C47" s="44" t="str">
        <f>IFERROR(INDEX($I$5:$I$104,MATCH(43,$N$5:$N$104,0)),"")</f>
        <v>Bosnia and Herzegovina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Phantom 4</v>
      </c>
      <c r="C48" s="44" t="str">
        <f>IFERROR(INDEX($I$5:$I$104,MATCH(44,$N$5:$N$104,0)),"")</f>
        <v>Cape Verde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workbookViewId="0">
      <selection activeCell="H19" sqref="H19"/>
    </sheetView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Julián Quiñones</v>
      </c>
      <c r="H6" s="47" t="str">
        <f>IFERROR(INDEX($Q$6:$Q$305,MATCH(1,$S$6:$S$305,0)),"")</f>
        <v>Mexico</v>
      </c>
      <c r="I6" s="46">
        <f>IFERROR(INDEX($R$6:$R$305,MATCH(1,$S$6:$S$305,0)),"")</f>
        <v>1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1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Raúl Jiménez</v>
      </c>
      <c r="H7" s="49" t="str">
        <f>IFERROR(INDEX($Q$6:$Q$305,MATCH(2,$S$6:$S$305,0)),"")</f>
        <v>Mexico</v>
      </c>
      <c r="I7" s="48">
        <f>IFERROR(INDEX($R$6:$R$305,MATCH(2,$S$6:$S$305,0)),"")</f>
        <v>1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2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Oh Hyeon-Gyu</v>
      </c>
      <c r="H8" s="51" t="str">
        <f>IFERROR(INDEX($Q$6:$Q$305,MATCH(3,$S$6:$S$305,0)),"")</f>
        <v>South Korea</v>
      </c>
      <c r="I8" s="50">
        <f>IFERROR(INDEX($R$6:$R$305,MATCH(3,$S$6:$S$305,0)),"")</f>
        <v>1</v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3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Hwang In-Beom</v>
      </c>
      <c r="H9" s="44" t="str">
        <f>IFERROR(INDEX($Q$6:$Q$305,MATCH(4,$S$6:$S$305,0)),"")</f>
        <v>South Korea</v>
      </c>
      <c r="I9" s="43">
        <f>IFERROR(INDEX($R$6:$R$305,MATCH(4,$S$6:$S$305,0)),"")</f>
        <v>1</v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4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L. Krejčí</v>
      </c>
      <c r="H10" s="44" t="str">
        <f>IFERROR(INDEX($Q$6:$Q$305,MATCH(5,$S$6:$S$305,0)),"")</f>
        <v>Czechia</v>
      </c>
      <c r="I10" s="43">
        <f>IFERROR(INDEX($R$6:$R$305,MATCH(5,$S$6:$S$305,0)),"")</f>
        <v>1</v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5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/>
      </c>
      <c r="Q11" t="str">
        <f t="shared" si="0"/>
        <v/>
      </c>
      <c r="R11" t="str">
        <f t="shared" si="1"/>
        <v/>
      </c>
      <c r="S11" t="str">
        <f>IF(P11="","",COUNTIFS($R$6:$R$305,"&gt;"&amp;R11,$P$6:$P$305,"&lt;&gt;")+COUNTIFS($R$6:$R11,"="&amp;R11,$P$6:$P11,"&lt;&gt;"))</f>
        <v/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/>
      </c>
      <c r="Q12" t="str">
        <f t="shared" si="0"/>
        <v/>
      </c>
      <c r="R12" t="str">
        <f t="shared" si="1"/>
        <v/>
      </c>
      <c r="S12" t="str">
        <f>IF(P12="","",COUNTIFS($R$6:$R$305,"&gt;"&amp;R12,$P$6:$P$305,"&lt;&gt;")+COUNTIFS($R$6:$R12,"="&amp;R12,$P$6:$P12,"&lt;&gt;"))</f>
        <v/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/>
      </c>
      <c r="Q13" t="str">
        <f t="shared" si="0"/>
        <v/>
      </c>
      <c r="R13" t="str">
        <f t="shared" si="1"/>
        <v/>
      </c>
      <c r="S13" t="str">
        <f>IF(P13="","",COUNTIFS($R$6:$R$305,"&gt;"&amp;R13,$P$6:$P$305,"&lt;&gt;")+COUNTIFS($R$6:$R13,"="&amp;R13,$P$6:$P13,"&lt;&gt;"))</f>
        <v/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/>
      </c>
      <c r="Q14" t="str">
        <f t="shared" si="0"/>
        <v/>
      </c>
      <c r="R14" t="str">
        <f t="shared" si="1"/>
        <v/>
      </c>
      <c r="S14" t="str">
        <f>IF(P14="","",COUNTIFS($R$6:$R$305,"&gt;"&amp;R14,$P$6:$P$305,"&lt;&gt;")+COUNTIFS($R$6:$R14,"="&amp;R14,$P$6:$P14,"&lt;&gt;"))</f>
        <v/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/>
      </c>
      <c r="Q15" t="str">
        <f t="shared" si="0"/>
        <v/>
      </c>
      <c r="R15" t="str">
        <f t="shared" si="1"/>
        <v/>
      </c>
      <c r="S15" t="str">
        <f>IF(P15="","",COUNTIFS($R$6:$R$305,"&gt;"&amp;R15,$P$6:$P$305,"&lt;&gt;")+COUNTIFS($R$6:$R15,"="&amp;R15,$P$6:$P15,"&lt;&gt;"))</f>
        <v/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/>
      </c>
      <c r="Q16" t="str">
        <f t="shared" si="0"/>
        <v/>
      </c>
      <c r="R16" t="str">
        <f t="shared" si="1"/>
        <v/>
      </c>
      <c r="S16" t="str">
        <f>IF(P16="","",COUNTIFS($R$6:$R$305,"&gt;"&amp;R16,$P$6:$P$305,"&lt;&gt;")+COUNTIFS($R$6:$R16,"="&amp;R16,$P$6:$P16,"&lt;&gt;"))</f>
        <v/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/>
      </c>
      <c r="Q17" t="str">
        <f t="shared" si="0"/>
        <v/>
      </c>
      <c r="R17" t="str">
        <f t="shared" si="1"/>
        <v/>
      </c>
      <c r="S17" t="str">
        <f>IF(P17="","",COUNTIFS($R$6:$R$305,"&gt;"&amp;R17,$P$6:$P$305,"&lt;&gt;")+COUNTIFS($R$6:$R17,"="&amp;R17,$P$6:$P17,"&lt;&gt;"))</f>
        <v/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/>
      </c>
      <c r="Q18" t="str">
        <f t="shared" si="0"/>
        <v/>
      </c>
      <c r="R18" t="str">
        <f t="shared" si="1"/>
        <v/>
      </c>
      <c r="S18" t="str">
        <f>IF(P18="","",COUNTIFS($R$6:$R$305,"&gt;"&amp;R18,$P$6:$P$305,"&lt;&gt;")+COUNTIFS($R$6:$R18,"="&amp;R18,$P$6:$P18,"&lt;&gt;"))</f>
        <v/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/>
      </c>
      <c r="Q19" t="str">
        <f t="shared" si="0"/>
        <v/>
      </c>
      <c r="R19" t="str">
        <f t="shared" si="1"/>
        <v/>
      </c>
      <c r="S19" t="str">
        <f>IF(P19="","",COUNTIFS($R$6:$R$305,"&gt;"&amp;R19,$P$6:$P$305,"&lt;&gt;")+COUNTIFS($R$6:$R19,"="&amp;R19,$P$6:$P19,"&lt;&gt;"))</f>
        <v/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/>
      </c>
      <c r="Q20" t="str">
        <f t="shared" si="0"/>
        <v/>
      </c>
      <c r="R20" t="str">
        <f t="shared" si="1"/>
        <v/>
      </c>
      <c r="S20" t="str">
        <f>IF(P20="","",COUNTIFS($R$6:$R$305,"&gt;"&amp;R20,$P$6:$P$305,"&lt;&gt;")+COUNTIFS($R$6:$R20,"="&amp;R20,$P$6:$P20,"&lt;&gt;"))</f>
        <v/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/>
      </c>
      <c r="Q21" t="str">
        <f t="shared" si="0"/>
        <v/>
      </c>
      <c r="R21" t="str">
        <f t="shared" si="1"/>
        <v/>
      </c>
      <c r="S21" t="str">
        <f>IF(P21="","",COUNTIFS($R$6:$R$305,"&gt;"&amp;R21,$P$6:$P$305,"&lt;&gt;")+COUNTIFS($R$6:$R21,"="&amp;R21,$P$6:$P21,"&lt;&gt;"))</f>
        <v/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/>
      </c>
      <c r="Q22" t="str">
        <f t="shared" si="0"/>
        <v/>
      </c>
      <c r="R22" t="str">
        <f t="shared" si="1"/>
        <v/>
      </c>
      <c r="S22" t="str">
        <f>IF(P22="","",COUNTIFS($R$6:$R$305,"&gt;"&amp;R22,$P$6:$P$305,"&lt;&gt;")+COUNTIFS($R$6:$R22,"="&amp;R22,$P$6:$P22,"&lt;&gt;"))</f>
        <v/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/>
      </c>
      <c r="Q23" t="str">
        <f t="shared" si="0"/>
        <v/>
      </c>
      <c r="R23" t="str">
        <f t="shared" si="1"/>
        <v/>
      </c>
      <c r="S23" t="str">
        <f>IF(P23="","",COUNTIFS($R$6:$R$305,"&gt;"&amp;R23,$P$6:$P$305,"&lt;&gt;")+COUNTIFS($R$6:$R23,"="&amp;R23,$P$6:$P23,"&lt;&gt;"))</f>
        <v/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/>
      </c>
      <c r="Q24" t="str">
        <f t="shared" si="0"/>
        <v/>
      </c>
      <c r="R24" t="str">
        <f t="shared" si="1"/>
        <v/>
      </c>
      <c r="S24" t="str">
        <f>IF(P24="","",COUNTIFS($R$6:$R$305,"&gt;"&amp;R24,$P$6:$P$305,"&lt;&gt;")+COUNTIFS($R$6:$R24,"="&amp;R24,$P$6:$P24,"&lt;&gt;"))</f>
        <v/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/>
      </c>
      <c r="Q25" t="str">
        <f t="shared" si="0"/>
        <v/>
      </c>
      <c r="R25" t="str">
        <f t="shared" si="1"/>
        <v/>
      </c>
      <c r="S25" t="str">
        <f>IF(P25="","",COUNTIFS($R$6:$R$305,"&gt;"&amp;R25,$P$6:$P$305,"&lt;&gt;")+COUNTIFS($R$6:$R25,"="&amp;R25,$P$6:$P25,"&lt;&gt;"))</f>
        <v/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/>
      </c>
      <c r="Q26" t="str">
        <f t="shared" si="0"/>
        <v/>
      </c>
      <c r="R26" t="str">
        <f t="shared" si="1"/>
        <v/>
      </c>
      <c r="S26" t="str">
        <f>IF(P26="","",COUNTIFS($R$6:$R$305,"&gt;"&amp;R26,$P$6:$P$305,"&lt;&gt;")+COUNTIFS($R$6:$R26,"="&amp;R26,$P$6:$P26,"&lt;&gt;"))</f>
        <v/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/>
      </c>
      <c r="Q27" t="str">
        <f t="shared" si="0"/>
        <v/>
      </c>
      <c r="R27" t="str">
        <f t="shared" si="1"/>
        <v/>
      </c>
      <c r="S27" t="str">
        <f>IF(P27="","",COUNTIFS($R$6:$R$305,"&gt;"&amp;R27,$P$6:$P$305,"&lt;&gt;")+COUNTIFS($R$6:$R27,"="&amp;R27,$P$6:$P27,"&lt;&gt;"))</f>
        <v/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/>
      </c>
      <c r="Q28" t="str">
        <f t="shared" si="0"/>
        <v/>
      </c>
      <c r="R28" t="str">
        <f t="shared" si="1"/>
        <v/>
      </c>
      <c r="S28" t="str">
        <f>IF(P28="","",COUNTIFS($R$6:$R$305,"&gt;"&amp;R28,$P$6:$P$305,"&lt;&gt;")+COUNTIFS($R$6:$R28,"="&amp;R28,$P$6:$P28,"&lt;&gt;"))</f>
        <v/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/>
      </c>
      <c r="Q29" t="str">
        <f t="shared" si="0"/>
        <v/>
      </c>
      <c r="R29" t="str">
        <f t="shared" si="1"/>
        <v/>
      </c>
      <c r="S29" t="str">
        <f>IF(P29="","",COUNTIFS($R$6:$R$305,"&gt;"&amp;R29,$P$6:$P$305,"&lt;&gt;")+COUNTIFS($R$6:$R29,"="&amp;R29,$P$6:$P29,"&lt;&gt;"))</f>
        <v/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/>
      </c>
      <c r="Q30" t="str">
        <f t="shared" si="0"/>
        <v/>
      </c>
      <c r="R30" t="str">
        <f t="shared" si="1"/>
        <v/>
      </c>
      <c r="S30" t="str">
        <f>IF(P30="","",COUNTIFS($R$6:$R$305,"&gt;"&amp;R30,$P$6:$P$305,"&lt;&gt;")+COUNTIFS($R$6:$R30,"="&amp;R30,$P$6:$P30,"&lt;&gt;"))</f>
        <v/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/>
      </c>
      <c r="Q31" t="str">
        <f t="shared" si="0"/>
        <v/>
      </c>
      <c r="R31" t="str">
        <f t="shared" si="1"/>
        <v/>
      </c>
      <c r="S31" t="str">
        <f>IF(P31="","",COUNTIFS($R$6:$R$305,"&gt;"&amp;R31,$P$6:$P$305,"&lt;&gt;")+COUNTIFS($R$6:$R31,"="&amp;R31,$P$6:$P31,"&lt;&gt;"))</f>
        <v/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/>
      </c>
      <c r="Q32" t="str">
        <f t="shared" si="0"/>
        <v/>
      </c>
      <c r="R32" t="str">
        <f t="shared" si="1"/>
        <v/>
      </c>
      <c r="S32" t="str">
        <f>IF(P32="","",COUNTIFS($R$6:$R$305,"&gt;"&amp;R32,$P$6:$P$305,"&lt;&gt;")+COUNTIFS($R$6:$R32,"="&amp;R32,$P$6:$P32,"&lt;&gt;"))</f>
        <v/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/>
      </c>
      <c r="Q33" t="str">
        <f t="shared" si="0"/>
        <v/>
      </c>
      <c r="R33" t="str">
        <f t="shared" si="1"/>
        <v/>
      </c>
      <c r="S33" t="str">
        <f>IF(P33="","",COUNTIFS($R$6:$R$305,"&gt;"&amp;R33,$P$6:$P$305,"&lt;&gt;")+COUNTIFS($R$6:$R33,"="&amp;R33,$P$6:$P33,"&lt;&gt;"))</f>
        <v/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/>
      </c>
      <c r="Q34" t="str">
        <f t="shared" si="0"/>
        <v/>
      </c>
      <c r="R34" t="str">
        <f t="shared" si="1"/>
        <v/>
      </c>
      <c r="S34" t="str">
        <f>IF(P34="","",COUNTIFS($R$6:$R$305,"&gt;"&amp;R34,$P$6:$P$305,"&lt;&gt;")+COUNTIFS($R$6:$R34,"="&amp;R34,$P$6:$P34,"&lt;&gt;"))</f>
        <v/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/>
      </c>
      <c r="Q35" t="str">
        <f t="shared" si="0"/>
        <v/>
      </c>
      <c r="R35" t="str">
        <f t="shared" si="1"/>
        <v/>
      </c>
      <c r="S35" t="str">
        <f>IF(P35="","",COUNTIFS($R$6:$R$305,"&gt;"&amp;R35,$P$6:$P$305,"&lt;&gt;")+COUNTIFS($R$6:$R35,"="&amp;R35,$P$6:$P35,"&lt;&gt;"))</f>
        <v/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/>
      </c>
      <c r="Q36" t="str">
        <f t="shared" si="0"/>
        <v/>
      </c>
      <c r="R36" t="str">
        <f t="shared" si="1"/>
        <v/>
      </c>
      <c r="S36" t="str">
        <f>IF(P36="","",COUNTIFS($R$6:$R$305,"&gt;"&amp;R36,$P$6:$P$305,"&lt;&gt;")+COUNTIFS($R$6:$R36,"="&amp;R36,$P$6:$P36,"&lt;&gt;"))</f>
        <v/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/>
      </c>
      <c r="Q37" t="str">
        <f t="shared" si="0"/>
        <v/>
      </c>
      <c r="R37" t="str">
        <f t="shared" si="1"/>
        <v/>
      </c>
      <c r="S37" t="str">
        <f>IF(P37="","",COUNTIFS($R$6:$R$305,"&gt;"&amp;R37,$P$6:$P$305,"&lt;&gt;")+COUNTIFS($R$6:$R37,"="&amp;R37,$P$6:$P37,"&lt;&gt;"))</f>
        <v/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/>
      </c>
      <c r="Q38" t="str">
        <f t="shared" si="0"/>
        <v/>
      </c>
      <c r="R38" t="str">
        <f t="shared" si="1"/>
        <v/>
      </c>
      <c r="S38" t="str">
        <f>IF(P38="","",COUNTIFS($R$6:$R$305,"&gt;"&amp;R38,$P$6:$P$305,"&lt;&gt;")+COUNTIFS($R$6:$R38,"="&amp;R38,$P$6:$P38,"&lt;&gt;"))</f>
        <v/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/>
      </c>
      <c r="Q40" t="str">
        <f t="shared" si="0"/>
        <v/>
      </c>
      <c r="R40" t="str">
        <f t="shared" si="1"/>
        <v/>
      </c>
      <c r="S40" t="str">
        <f>IF(P40="","",COUNTIFS($R$6:$R$305,"&gt;"&amp;R40,$P$6:$P$305,"&lt;&gt;")+COUNTIFS($R$6:$R40,"="&amp;R40,$P$6:$P40,"&lt;&gt;"))</f>
        <v/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/>
      </c>
      <c r="Q41" t="str">
        <f t="shared" si="0"/>
        <v/>
      </c>
      <c r="R41" t="str">
        <f t="shared" si="1"/>
        <v/>
      </c>
      <c r="S41" t="str">
        <f>IF(P41="","",COUNTIFS($R$6:$R$305,"&gt;"&amp;R41,$P$6:$P$305,"&lt;&gt;")+COUNTIFS($R$6:$R41,"="&amp;R41,$P$6:$P41,"&lt;&gt;"))</f>
        <v/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>IF(OR(B70="",COUNTIF($B$6:$B70,B70)&gt;1),"",B70)</f>
        <v/>
      </c>
      <c r="Q70" t="str">
        <f t="shared" ref="Q70:Q133" si="4">IF(P70="","",C70)</f>
        <v/>
      </c>
      <c r="R70" t="str">
        <f t="shared" ref="R70:R133" si="5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6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>IF(OR(B71="",COUNTIF($B$6:$B71,B71)&gt;1),"",B71)</f>
        <v/>
      </c>
      <c r="Q71" t="str">
        <f t="shared" si="4"/>
        <v/>
      </c>
      <c r="R71" t="str">
        <f t="shared" si="5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6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>IF(OR(B72="",COUNTIF($B$6:$B72,B72)&gt;1),"",B72)</f>
        <v/>
      </c>
      <c r="Q72" t="str">
        <f t="shared" si="4"/>
        <v/>
      </c>
      <c r="R72" t="str">
        <f t="shared" si="5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6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>IF(OR(B73="",COUNTIF($B$6:$B73,B73)&gt;1),"",B73)</f>
        <v/>
      </c>
      <c r="Q73" t="str">
        <f t="shared" si="4"/>
        <v/>
      </c>
      <c r="R73" t="str">
        <f t="shared" si="5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6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>IF(OR(B74="",COUNTIF($B$6:$B74,B74)&gt;1),"",B74)</f>
        <v/>
      </c>
      <c r="Q74" t="str">
        <f t="shared" si="4"/>
        <v/>
      </c>
      <c r="R74" t="str">
        <f t="shared" si="5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6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>IF(OR(B75="",COUNTIF($B$6:$B75,B75)&gt;1),"",B75)</f>
        <v/>
      </c>
      <c r="Q75" t="str">
        <f t="shared" si="4"/>
        <v/>
      </c>
      <c r="R75" t="str">
        <f t="shared" si="5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6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>IF(OR(B76="",COUNTIF($B$6:$B76,B76)&gt;1),"",B76)</f>
        <v/>
      </c>
      <c r="Q76" t="str">
        <f t="shared" si="4"/>
        <v/>
      </c>
      <c r="R76" t="str">
        <f t="shared" si="5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6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>IF(OR(B77="",COUNTIF($B$6:$B77,B77)&gt;1),"",B77)</f>
        <v/>
      </c>
      <c r="Q77" t="str">
        <f t="shared" si="4"/>
        <v/>
      </c>
      <c r="R77" t="str">
        <f t="shared" si="5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6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>IF(OR(B78="",COUNTIF($B$6:$B78,B78)&gt;1),"",B78)</f>
        <v/>
      </c>
      <c r="Q78" t="str">
        <f t="shared" si="4"/>
        <v/>
      </c>
      <c r="R78" t="str">
        <f t="shared" si="5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6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>IF(OR(B79="",COUNTIF($B$6:$B79,B79)&gt;1),"",B79)</f>
        <v/>
      </c>
      <c r="Q79" t="str">
        <f t="shared" si="4"/>
        <v/>
      </c>
      <c r="R79" t="str">
        <f t="shared" si="5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6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>IF(OR(B80="",COUNTIF($B$6:$B80,B80)&gt;1),"",B80)</f>
        <v/>
      </c>
      <c r="Q80" t="str">
        <f t="shared" si="4"/>
        <v/>
      </c>
      <c r="R80" t="str">
        <f t="shared" si="5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6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>IF(OR(B81="",COUNTIF($B$6:$B81,B81)&gt;1),"",B81)</f>
        <v/>
      </c>
      <c r="Q81" t="str">
        <f t="shared" si="4"/>
        <v/>
      </c>
      <c r="R81" t="str">
        <f t="shared" si="5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6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>IF(OR(B82="",COUNTIF($B$6:$B82,B82)&gt;1),"",B82)</f>
        <v/>
      </c>
      <c r="Q82" t="str">
        <f t="shared" si="4"/>
        <v/>
      </c>
      <c r="R82" t="str">
        <f t="shared" si="5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6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>IF(OR(B83="",COUNTIF($B$6:$B83,B83)&gt;1),"",B83)</f>
        <v/>
      </c>
      <c r="Q83" t="str">
        <f t="shared" si="4"/>
        <v/>
      </c>
      <c r="R83" t="str">
        <f t="shared" si="5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6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>IF(OR(B84="",COUNTIF($B$6:$B84,B84)&gt;1),"",B84)</f>
        <v/>
      </c>
      <c r="Q84" t="str">
        <f t="shared" si="4"/>
        <v/>
      </c>
      <c r="R84" t="str">
        <f t="shared" si="5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6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>IF(OR(B85="",COUNTIF($B$6:$B85,B85)&gt;1),"",B85)</f>
        <v/>
      </c>
      <c r="Q85" t="str">
        <f t="shared" si="4"/>
        <v/>
      </c>
      <c r="R85" t="str">
        <f t="shared" si="5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6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>IF(OR(B86="",COUNTIF($B$6:$B86,B86)&gt;1),"",B86)</f>
        <v/>
      </c>
      <c r="Q86" t="str">
        <f t="shared" si="4"/>
        <v/>
      </c>
      <c r="R86" t="str">
        <f t="shared" si="5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6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>IF(OR(B87="",COUNTIF($B$6:$B87,B87)&gt;1),"",B87)</f>
        <v/>
      </c>
      <c r="Q87" t="str">
        <f t="shared" si="4"/>
        <v/>
      </c>
      <c r="R87" t="str">
        <f t="shared" si="5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6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>IF(OR(B88="",COUNTIF($B$6:$B88,B88)&gt;1),"",B88)</f>
        <v/>
      </c>
      <c r="Q88" t="str">
        <f t="shared" si="4"/>
        <v/>
      </c>
      <c r="R88" t="str">
        <f t="shared" si="5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6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>IF(OR(B89="",COUNTIF($B$6:$B89,B89)&gt;1),"",B89)</f>
        <v/>
      </c>
      <c r="Q89" t="str">
        <f t="shared" si="4"/>
        <v/>
      </c>
      <c r="R89" t="str">
        <f t="shared" si="5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6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>IF(OR(B90="",COUNTIF($B$6:$B90,B90)&gt;1),"",B90)</f>
        <v/>
      </c>
      <c r="Q90" t="str">
        <f t="shared" si="4"/>
        <v/>
      </c>
      <c r="R90" t="str">
        <f t="shared" si="5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6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>IF(OR(B91="",COUNTIF($B$6:$B91,B91)&gt;1),"",B91)</f>
        <v/>
      </c>
      <c r="Q91" t="str">
        <f t="shared" si="4"/>
        <v/>
      </c>
      <c r="R91" t="str">
        <f t="shared" si="5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6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>IF(OR(B92="",COUNTIF($B$6:$B92,B92)&gt;1),"",B92)</f>
        <v/>
      </c>
      <c r="Q92" t="str">
        <f t="shared" si="4"/>
        <v/>
      </c>
      <c r="R92" t="str">
        <f t="shared" si="5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6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>IF(OR(B93="",COUNTIF($B$6:$B93,B93)&gt;1),"",B93)</f>
        <v/>
      </c>
      <c r="Q93" t="str">
        <f t="shared" si="4"/>
        <v/>
      </c>
      <c r="R93" t="str">
        <f t="shared" si="5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6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>IF(OR(B94="",COUNTIF($B$6:$B94,B94)&gt;1),"",B94)</f>
        <v/>
      </c>
      <c r="Q94" t="str">
        <f t="shared" si="4"/>
        <v/>
      </c>
      <c r="R94" t="str">
        <f t="shared" si="5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6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>IF(OR(B95="",COUNTIF($B$6:$B95,B95)&gt;1),"",B95)</f>
        <v/>
      </c>
      <c r="Q95" t="str">
        <f t="shared" si="4"/>
        <v/>
      </c>
      <c r="R95" t="str">
        <f t="shared" si="5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6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>IF(OR(B96="",COUNTIF($B$6:$B96,B96)&gt;1),"",B96)</f>
        <v/>
      </c>
      <c r="Q96" t="str">
        <f t="shared" si="4"/>
        <v/>
      </c>
      <c r="R96" t="str">
        <f t="shared" si="5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6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>IF(OR(B97="",COUNTIF($B$6:$B97,B97)&gt;1),"",B97)</f>
        <v/>
      </c>
      <c r="Q97" t="str">
        <f t="shared" si="4"/>
        <v/>
      </c>
      <c r="R97" t="str">
        <f t="shared" si="5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6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>IF(OR(B98="",COUNTIF($B$6:$B98,B98)&gt;1),"",B98)</f>
        <v/>
      </c>
      <c r="Q98" t="str">
        <f t="shared" si="4"/>
        <v/>
      </c>
      <c r="R98" t="str">
        <f t="shared" si="5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6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>IF(OR(B99="",COUNTIF($B$6:$B99,B99)&gt;1),"",B99)</f>
        <v/>
      </c>
      <c r="Q99" t="str">
        <f t="shared" si="4"/>
        <v/>
      </c>
      <c r="R99" t="str">
        <f t="shared" si="5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6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>IF(OR(B100="",COUNTIF($B$6:$B100,B100)&gt;1),"",B100)</f>
        <v/>
      </c>
      <c r="Q100" t="str">
        <f t="shared" si="4"/>
        <v/>
      </c>
      <c r="R100" t="str">
        <f t="shared" si="5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6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>IF(OR(B101="",COUNTIF($B$6:$B101,B101)&gt;1),"",B101)</f>
        <v/>
      </c>
      <c r="Q101" t="str">
        <f t="shared" si="4"/>
        <v/>
      </c>
      <c r="R101" t="str">
        <f t="shared" si="5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6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>IF(OR(B102="",COUNTIF($B$6:$B102,B102)&gt;1),"",B102)</f>
        <v/>
      </c>
      <c r="Q102" t="str">
        <f t="shared" si="4"/>
        <v/>
      </c>
      <c r="R102" t="str">
        <f t="shared" si="5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33" si="7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>IF(OR(B103="",COUNTIF($B$6:$B103,B103)&gt;1),"",B103)</f>
        <v/>
      </c>
      <c r="Q103" t="str">
        <f t="shared" si="4"/>
        <v/>
      </c>
      <c r="R103" t="str">
        <f t="shared" si="5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7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>IF(OR(B104="",COUNTIF($B$6:$B104,B104)&gt;1),"",B104)</f>
        <v/>
      </c>
      <c r="Q104" t="str">
        <f t="shared" si="4"/>
        <v/>
      </c>
      <c r="R104" t="str">
        <f t="shared" si="5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7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>IF(OR(B105="",COUNTIF($B$6:$B105,B105)&gt;1),"",B105)</f>
        <v/>
      </c>
      <c r="Q105" t="str">
        <f t="shared" si="4"/>
        <v/>
      </c>
      <c r="R105" t="str">
        <f t="shared" si="5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7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>IF(OR(B106="",COUNTIF($B$6:$B106,B106)&gt;1),"",B106)</f>
        <v/>
      </c>
      <c r="Q106" t="str">
        <f t="shared" si="4"/>
        <v/>
      </c>
      <c r="R106" t="str">
        <f t="shared" si="5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P107" t="str">
        <f>IF(OR(B107="",COUNTIF($B$6:$B107,B107)&gt;1),"",B107)</f>
        <v/>
      </c>
      <c r="Q107" t="str">
        <f t="shared" si="4"/>
        <v/>
      </c>
      <c r="R107" t="str">
        <f t="shared" si="5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P108" t="str">
        <f>IF(OR(B108="",COUNTIF($B$6:$B108,B108)&gt;1),"",B108)</f>
        <v/>
      </c>
      <c r="Q108" t="str">
        <f t="shared" si="4"/>
        <v/>
      </c>
      <c r="R108" t="str">
        <f t="shared" si="5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P109" t="str">
        <f>IF(OR(B109="",COUNTIF($B$6:$B109,B109)&gt;1),"",B109)</f>
        <v/>
      </c>
      <c r="Q109" t="str">
        <f t="shared" si="4"/>
        <v/>
      </c>
      <c r="R109" t="str">
        <f t="shared" si="5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P110" t="str">
        <f>IF(OR(B110="",COUNTIF($B$6:$B110,B110)&gt;1),"",B110)</f>
        <v/>
      </c>
      <c r="Q110" t="str">
        <f t="shared" si="4"/>
        <v/>
      </c>
      <c r="R110" t="str">
        <f t="shared" si="5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P111" t="str">
        <f>IF(OR(B111="",COUNTIF($B$6:$B111,B111)&gt;1),"",B111)</f>
        <v/>
      </c>
      <c r="Q111" t="str">
        <f t="shared" si="4"/>
        <v/>
      </c>
      <c r="R111" t="str">
        <f t="shared" si="5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P112" t="str">
        <f>IF(OR(B112="",COUNTIF($B$6:$B112,B112)&gt;1),"",B112)</f>
        <v/>
      </c>
      <c r="Q112" t="str">
        <f t="shared" si="4"/>
        <v/>
      </c>
      <c r="R112" t="str">
        <f t="shared" si="5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P113" t="str">
        <f>IF(OR(B113="",COUNTIF($B$6:$B113,B113)&gt;1),"",B113)</f>
        <v/>
      </c>
      <c r="Q113" t="str">
        <f t="shared" si="4"/>
        <v/>
      </c>
      <c r="R113" t="str">
        <f t="shared" si="5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P114" t="str">
        <f>IF(OR(B114="",COUNTIF($B$6:$B114,B114)&gt;1),"",B114)</f>
        <v/>
      </c>
      <c r="Q114" t="str">
        <f t="shared" si="4"/>
        <v/>
      </c>
      <c r="R114" t="str">
        <f t="shared" si="5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P115" t="str">
        <f>IF(OR(B115="",COUNTIF($B$6:$B115,B115)&gt;1),"",B115)</f>
        <v/>
      </c>
      <c r="Q115" t="str">
        <f t="shared" si="4"/>
        <v/>
      </c>
      <c r="R115" t="str">
        <f t="shared" si="5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P116" t="str">
        <f>IF(OR(B116="",COUNTIF($B$6:$B116,B116)&gt;1),"",B116)</f>
        <v/>
      </c>
      <c r="Q116" t="str">
        <f t="shared" si="4"/>
        <v/>
      </c>
      <c r="R116" t="str">
        <f t="shared" si="5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P117" t="str">
        <f>IF(OR(B117="",COUNTIF($B$6:$B117,B117)&gt;1),"",B117)</f>
        <v/>
      </c>
      <c r="Q117" t="str">
        <f t="shared" si="4"/>
        <v/>
      </c>
      <c r="R117" t="str">
        <f t="shared" si="5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P118" t="str">
        <f>IF(OR(B118="",COUNTIF($B$6:$B118,B118)&gt;1),"",B118)</f>
        <v/>
      </c>
      <c r="Q118" t="str">
        <f t="shared" si="4"/>
        <v/>
      </c>
      <c r="R118" t="str">
        <f t="shared" si="5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P119" t="str">
        <f>IF(OR(B119="",COUNTIF($B$6:$B119,B119)&gt;1),"",B119)</f>
        <v/>
      </c>
      <c r="Q119" t="str">
        <f t="shared" si="4"/>
        <v/>
      </c>
      <c r="R119" t="str">
        <f t="shared" si="5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P120" t="str">
        <f>IF(OR(B120="",COUNTIF($B$6:$B120,B120)&gt;1),"",B120)</f>
        <v/>
      </c>
      <c r="Q120" t="str">
        <f t="shared" si="4"/>
        <v/>
      </c>
      <c r="R120" t="str">
        <f t="shared" si="5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P121" t="str">
        <f>IF(OR(B121="",COUNTIF($B$6:$B121,B121)&gt;1),"",B121)</f>
        <v/>
      </c>
      <c r="Q121" t="str">
        <f t="shared" si="4"/>
        <v/>
      </c>
      <c r="R121" t="str">
        <f t="shared" si="5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P122" t="str">
        <f>IF(OR(B122="",COUNTIF($B$6:$B122,B122)&gt;1),"",B122)</f>
        <v/>
      </c>
      <c r="Q122" t="str">
        <f t="shared" si="4"/>
        <v/>
      </c>
      <c r="R122" t="str">
        <f t="shared" si="5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P123" t="str">
        <f>IF(OR(B123="",COUNTIF($B$6:$B123,B123)&gt;1),"",B123)</f>
        <v/>
      </c>
      <c r="Q123" t="str">
        <f t="shared" si="4"/>
        <v/>
      </c>
      <c r="R123" t="str">
        <f t="shared" si="5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P124" t="str">
        <f>IF(OR(B124="",COUNTIF($B$6:$B124,B124)&gt;1),"",B124)</f>
        <v/>
      </c>
      <c r="Q124" t="str">
        <f t="shared" si="4"/>
        <v/>
      </c>
      <c r="R124" t="str">
        <f t="shared" si="5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P125" t="str">
        <f>IF(OR(B125="",COUNTIF($B$6:$B125,B125)&gt;1),"",B125)</f>
        <v/>
      </c>
      <c r="Q125" t="str">
        <f t="shared" si="4"/>
        <v/>
      </c>
      <c r="R125" t="str">
        <f t="shared" si="5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P126" t="str">
        <f>IF(OR(B126="",COUNTIF($B$6:$B126,B126)&gt;1),"",B126)</f>
        <v/>
      </c>
      <c r="Q126" t="str">
        <f t="shared" si="4"/>
        <v/>
      </c>
      <c r="R126" t="str">
        <f t="shared" si="5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P127" t="str">
        <f>IF(OR(B127="",COUNTIF($B$6:$B127,B127)&gt;1),"",B127)</f>
        <v/>
      </c>
      <c r="Q127" t="str">
        <f t="shared" si="4"/>
        <v/>
      </c>
      <c r="R127" t="str">
        <f t="shared" si="5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P128" t="str">
        <f>IF(OR(B128="",COUNTIF($B$6:$B128,B128)&gt;1),"",B128)</f>
        <v/>
      </c>
      <c r="Q128" t="str">
        <f t="shared" si="4"/>
        <v/>
      </c>
      <c r="R128" t="str">
        <f t="shared" si="5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P129" t="str">
        <f>IF(OR(B129="",COUNTIF($B$6:$B129,B129)&gt;1),"",B129)</f>
        <v/>
      </c>
      <c r="Q129" t="str">
        <f t="shared" si="4"/>
        <v/>
      </c>
      <c r="R129" t="str">
        <f t="shared" si="5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P130" t="str">
        <f>IF(OR(B130="",COUNTIF($B$6:$B130,B130)&gt;1),"",B130)</f>
        <v/>
      </c>
      <c r="Q130" t="str">
        <f t="shared" si="4"/>
        <v/>
      </c>
      <c r="R130" t="str">
        <f t="shared" si="5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P131" t="str">
        <f>IF(OR(B131="",COUNTIF($B$6:$B131,B131)&gt;1),"",B131)</f>
        <v/>
      </c>
      <c r="Q131" t="str">
        <f t="shared" si="4"/>
        <v/>
      </c>
      <c r="R131" t="str">
        <f t="shared" si="5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P132" t="str">
        <f>IF(OR(B132="",COUNTIF($B$6:$B132,B132)&gt;1),"",B132)</f>
        <v/>
      </c>
      <c r="Q132" t="str">
        <f t="shared" si="4"/>
        <v/>
      </c>
      <c r="R132" t="str">
        <f t="shared" si="5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P133" t="str">
        <f>IF(OR(B133="",COUNTIF($B$6:$B133,B133)&gt;1),"",B133)</f>
        <v/>
      </c>
      <c r="Q133" t="str">
        <f t="shared" si="4"/>
        <v/>
      </c>
      <c r="R133" t="str">
        <f t="shared" si="5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P134" t="str">
        <f>IF(OR(B134="",COUNTIF($B$6:$B134,B134)&gt;1),"",B134)</f>
        <v/>
      </c>
      <c r="Q134" t="str">
        <f t="shared" ref="Q134:Q197" si="8">IF(P134="","",C134)</f>
        <v/>
      </c>
      <c r="R134" t="str">
        <f t="shared" ref="R134:R197" si="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P135" t="str">
        <f>IF(OR(B135="",COUNTIF($B$6:$B135,B135)&gt;1),"",B135)</f>
        <v/>
      </c>
      <c r="Q135" t="str">
        <f t="shared" si="8"/>
        <v/>
      </c>
      <c r="R135" t="str">
        <f t="shared" si="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P136" t="str">
        <f>IF(OR(B136="",COUNTIF($B$6:$B136,B136)&gt;1),"",B136)</f>
        <v/>
      </c>
      <c r="Q136" t="str">
        <f t="shared" si="8"/>
        <v/>
      </c>
      <c r="R136" t="str">
        <f t="shared" si="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P137" t="str">
        <f>IF(OR(B137="",COUNTIF($B$6:$B137,B137)&gt;1),"",B137)</f>
        <v/>
      </c>
      <c r="Q137" t="str">
        <f t="shared" si="8"/>
        <v/>
      </c>
      <c r="R137" t="str">
        <f t="shared" si="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P138" t="str">
        <f>IF(OR(B138="",COUNTIF($B$6:$B138,B138)&gt;1),"",B138)</f>
        <v/>
      </c>
      <c r="Q138" t="str">
        <f t="shared" si="8"/>
        <v/>
      </c>
      <c r="R138" t="str">
        <f t="shared" si="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P139" t="str">
        <f>IF(OR(B139="",COUNTIF($B$6:$B139,B139)&gt;1),"",B139)</f>
        <v/>
      </c>
      <c r="Q139" t="str">
        <f t="shared" si="8"/>
        <v/>
      </c>
      <c r="R139" t="str">
        <f t="shared" si="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P140" t="str">
        <f>IF(OR(B140="",COUNTIF($B$6:$B140,B140)&gt;1),"",B140)</f>
        <v/>
      </c>
      <c r="Q140" t="str">
        <f t="shared" si="8"/>
        <v/>
      </c>
      <c r="R140" t="str">
        <f t="shared" si="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P141" t="str">
        <f>IF(OR(B141="",COUNTIF($B$6:$B141,B141)&gt;1),"",B141)</f>
        <v/>
      </c>
      <c r="Q141" t="str">
        <f t="shared" si="8"/>
        <v/>
      </c>
      <c r="R141" t="str">
        <f t="shared" si="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P142" t="str">
        <f>IF(OR(B142="",COUNTIF($B$6:$B142,B142)&gt;1),"",B142)</f>
        <v/>
      </c>
      <c r="Q142" t="str">
        <f t="shared" si="8"/>
        <v/>
      </c>
      <c r="R142" t="str">
        <f t="shared" si="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P143" t="str">
        <f>IF(OR(B143="",COUNTIF($B$6:$B143,B143)&gt;1),"",B143)</f>
        <v/>
      </c>
      <c r="Q143" t="str">
        <f t="shared" si="8"/>
        <v/>
      </c>
      <c r="R143" t="str">
        <f t="shared" si="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P144" t="str">
        <f>IF(OR(B144="",COUNTIF($B$6:$B144,B144)&gt;1),"",B144)</f>
        <v/>
      </c>
      <c r="Q144" t="str">
        <f t="shared" si="8"/>
        <v/>
      </c>
      <c r="R144" t="str">
        <f t="shared" si="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P145" t="str">
        <f>IF(OR(B145="",COUNTIF($B$6:$B145,B145)&gt;1),"",B145)</f>
        <v/>
      </c>
      <c r="Q145" t="str">
        <f t="shared" si="8"/>
        <v/>
      </c>
      <c r="R145" t="str">
        <f t="shared" si="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P146" t="str">
        <f>IF(OR(B146="",COUNTIF($B$6:$B146,B146)&gt;1),"",B146)</f>
        <v/>
      </c>
      <c r="Q146" t="str">
        <f t="shared" si="8"/>
        <v/>
      </c>
      <c r="R146" t="str">
        <f t="shared" si="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P147" t="str">
        <f>IF(OR(B147="",COUNTIF($B$6:$B147,B147)&gt;1),"",B147)</f>
        <v/>
      </c>
      <c r="Q147" t="str">
        <f t="shared" si="8"/>
        <v/>
      </c>
      <c r="R147" t="str">
        <f t="shared" si="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P148" t="str">
        <f>IF(OR(B148="",COUNTIF($B$6:$B148,B148)&gt;1),"",B148)</f>
        <v/>
      </c>
      <c r="Q148" t="str">
        <f t="shared" si="8"/>
        <v/>
      </c>
      <c r="R148" t="str">
        <f t="shared" si="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P149" t="str">
        <f>IF(OR(B149="",COUNTIF($B$6:$B149,B149)&gt;1),"",B149)</f>
        <v/>
      </c>
      <c r="Q149" t="str">
        <f t="shared" si="8"/>
        <v/>
      </c>
      <c r="R149" t="str">
        <f t="shared" si="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P150" t="str">
        <f>IF(OR(B150="",COUNTIF($B$6:$B150,B150)&gt;1),"",B150)</f>
        <v/>
      </c>
      <c r="Q150" t="str">
        <f t="shared" si="8"/>
        <v/>
      </c>
      <c r="R150" t="str">
        <f t="shared" si="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P151" t="str">
        <f>IF(OR(B151="",COUNTIF($B$6:$B151,B151)&gt;1),"",B151)</f>
        <v/>
      </c>
      <c r="Q151" t="str">
        <f t="shared" si="8"/>
        <v/>
      </c>
      <c r="R151" t="str">
        <f t="shared" si="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P152" t="str">
        <f>IF(OR(B152="",COUNTIF($B$6:$B152,B152)&gt;1),"",B152)</f>
        <v/>
      </c>
      <c r="Q152" t="str">
        <f t="shared" si="8"/>
        <v/>
      </c>
      <c r="R152" t="str">
        <f t="shared" si="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P153" t="str">
        <f>IF(OR(B153="",COUNTIF($B$6:$B153,B153)&gt;1),"",B153)</f>
        <v/>
      </c>
      <c r="Q153" t="str">
        <f t="shared" si="8"/>
        <v/>
      </c>
      <c r="R153" t="str">
        <f t="shared" si="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P154" t="str">
        <f>IF(OR(B154="",COUNTIF($B$6:$B154,B154)&gt;1),"",B154)</f>
        <v/>
      </c>
      <c r="Q154" t="str">
        <f t="shared" si="8"/>
        <v/>
      </c>
      <c r="R154" t="str">
        <f t="shared" si="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P155" t="str">
        <f>IF(OR(B155="",COUNTIF($B$6:$B155,B155)&gt;1),"",B155)</f>
        <v/>
      </c>
      <c r="Q155" t="str">
        <f t="shared" si="8"/>
        <v/>
      </c>
      <c r="R155" t="str">
        <f t="shared" si="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P156" t="str">
        <f>IF(OR(B156="",COUNTIF($B$6:$B156,B156)&gt;1),"",B156)</f>
        <v/>
      </c>
      <c r="Q156" t="str">
        <f t="shared" si="8"/>
        <v/>
      </c>
      <c r="R156" t="str">
        <f t="shared" si="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P157" t="str">
        <f>IF(OR(B157="",COUNTIF($B$6:$B157,B157)&gt;1),"",B157)</f>
        <v/>
      </c>
      <c r="Q157" t="str">
        <f t="shared" si="8"/>
        <v/>
      </c>
      <c r="R157" t="str">
        <f t="shared" si="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P158" t="str">
        <f>IF(OR(B158="",COUNTIF($B$6:$B158,B158)&gt;1),"",B158)</f>
        <v/>
      </c>
      <c r="Q158" t="str">
        <f t="shared" si="8"/>
        <v/>
      </c>
      <c r="R158" t="str">
        <f t="shared" si="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P159" t="str">
        <f>IF(OR(B159="",COUNTIF($B$6:$B159,B159)&gt;1),"",B159)</f>
        <v/>
      </c>
      <c r="Q159" t="str">
        <f t="shared" si="8"/>
        <v/>
      </c>
      <c r="R159" t="str">
        <f t="shared" si="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P160" t="str">
        <f>IF(OR(B160="",COUNTIF($B$6:$B160,B160)&gt;1),"",B160)</f>
        <v/>
      </c>
      <c r="Q160" t="str">
        <f t="shared" si="8"/>
        <v/>
      </c>
      <c r="R160" t="str">
        <f t="shared" si="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P161" t="str">
        <f>IF(OR(B161="",COUNTIF($B$6:$B161,B161)&gt;1),"",B161)</f>
        <v/>
      </c>
      <c r="Q161" t="str">
        <f t="shared" si="8"/>
        <v/>
      </c>
      <c r="R161" t="str">
        <f t="shared" si="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P162" t="str">
        <f>IF(OR(B162="",COUNTIF($B$6:$B162,B162)&gt;1),"",B162)</f>
        <v/>
      </c>
      <c r="Q162" t="str">
        <f t="shared" si="8"/>
        <v/>
      </c>
      <c r="R162" t="str">
        <f t="shared" si="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P163" t="str">
        <f>IF(OR(B163="",COUNTIF($B$6:$B163,B163)&gt;1),"",B163)</f>
        <v/>
      </c>
      <c r="Q163" t="str">
        <f t="shared" si="8"/>
        <v/>
      </c>
      <c r="R163" t="str">
        <f t="shared" si="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P164" t="str">
        <f>IF(OR(B164="",COUNTIF($B$6:$B164,B164)&gt;1),"",B164)</f>
        <v/>
      </c>
      <c r="Q164" t="str">
        <f t="shared" si="8"/>
        <v/>
      </c>
      <c r="R164" t="str">
        <f t="shared" si="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P165" t="str">
        <f>IF(OR(B165="",COUNTIF($B$6:$B165,B165)&gt;1),"",B165)</f>
        <v/>
      </c>
      <c r="Q165" t="str">
        <f t="shared" si="8"/>
        <v/>
      </c>
      <c r="R165" t="str">
        <f t="shared" si="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P166" t="str">
        <f>IF(OR(B166="",COUNTIF($B$6:$B166,B166)&gt;1),"",B166)</f>
        <v/>
      </c>
      <c r="Q166" t="str">
        <f t="shared" si="8"/>
        <v/>
      </c>
      <c r="R166" t="str">
        <f t="shared" si="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P167" t="str">
        <f>IF(OR(B167="",COUNTIF($B$6:$B167,B167)&gt;1),"",B167)</f>
        <v/>
      </c>
      <c r="Q167" t="str">
        <f t="shared" si="8"/>
        <v/>
      </c>
      <c r="R167" t="str">
        <f t="shared" si="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P168" t="str">
        <f>IF(OR(B168="",COUNTIF($B$6:$B168,B168)&gt;1),"",B168)</f>
        <v/>
      </c>
      <c r="Q168" t="str">
        <f t="shared" si="8"/>
        <v/>
      </c>
      <c r="R168" t="str">
        <f t="shared" si="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P169" t="str">
        <f>IF(OR(B169="",COUNTIF($B$6:$B169,B169)&gt;1),"",B169)</f>
        <v/>
      </c>
      <c r="Q169" t="str">
        <f t="shared" si="8"/>
        <v/>
      </c>
      <c r="R169" t="str">
        <f t="shared" si="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P170" t="str">
        <f>IF(OR(B170="",COUNTIF($B$6:$B170,B170)&gt;1),"",B170)</f>
        <v/>
      </c>
      <c r="Q170" t="str">
        <f t="shared" si="8"/>
        <v/>
      </c>
      <c r="R170" t="str">
        <f t="shared" si="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P171" t="str">
        <f>IF(OR(B171="",COUNTIF($B$6:$B171,B171)&gt;1),"",B171)</f>
        <v/>
      </c>
      <c r="Q171" t="str">
        <f t="shared" si="8"/>
        <v/>
      </c>
      <c r="R171" t="str">
        <f t="shared" si="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P172" t="str">
        <f>IF(OR(B172="",COUNTIF($B$6:$B172,B172)&gt;1),"",B172)</f>
        <v/>
      </c>
      <c r="Q172" t="str">
        <f t="shared" si="8"/>
        <v/>
      </c>
      <c r="R172" t="str">
        <f t="shared" si="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P173" t="str">
        <f>IF(OR(B173="",COUNTIF($B$6:$B173,B173)&gt;1),"",B173)</f>
        <v/>
      </c>
      <c r="Q173" t="str">
        <f t="shared" si="8"/>
        <v/>
      </c>
      <c r="R173" t="str">
        <f t="shared" si="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P174" t="str">
        <f>IF(OR(B174="",COUNTIF($B$6:$B174,B174)&gt;1),"",B174)</f>
        <v/>
      </c>
      <c r="Q174" t="str">
        <f t="shared" si="8"/>
        <v/>
      </c>
      <c r="R174" t="str">
        <f t="shared" si="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P175" t="str">
        <f>IF(OR(B175="",COUNTIF($B$6:$B175,B175)&gt;1),"",B175)</f>
        <v/>
      </c>
      <c r="Q175" t="str">
        <f t="shared" si="8"/>
        <v/>
      </c>
      <c r="R175" t="str">
        <f t="shared" si="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P176" t="str">
        <f>IF(OR(B176="",COUNTIF($B$6:$B176,B176)&gt;1),"",B176)</f>
        <v/>
      </c>
      <c r="Q176" t="str">
        <f t="shared" si="8"/>
        <v/>
      </c>
      <c r="R176" t="str">
        <f t="shared" si="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P177" t="str">
        <f>IF(OR(B177="",COUNTIF($B$6:$B177,B177)&gt;1),"",B177)</f>
        <v/>
      </c>
      <c r="Q177" t="str">
        <f t="shared" si="8"/>
        <v/>
      </c>
      <c r="R177" t="str">
        <f t="shared" si="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P178" t="str">
        <f>IF(OR(B178="",COUNTIF($B$6:$B178,B178)&gt;1),"",B178)</f>
        <v/>
      </c>
      <c r="Q178" t="str">
        <f t="shared" si="8"/>
        <v/>
      </c>
      <c r="R178" t="str">
        <f t="shared" si="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P179" t="str">
        <f>IF(OR(B179="",COUNTIF($B$6:$B179,B179)&gt;1),"",B179)</f>
        <v/>
      </c>
      <c r="Q179" t="str">
        <f t="shared" si="8"/>
        <v/>
      </c>
      <c r="R179" t="str">
        <f t="shared" si="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P180" t="str">
        <f>IF(OR(B180="",COUNTIF($B$6:$B180,B180)&gt;1),"",B180)</f>
        <v/>
      </c>
      <c r="Q180" t="str">
        <f t="shared" si="8"/>
        <v/>
      </c>
      <c r="R180" t="str">
        <f t="shared" si="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P181" t="str">
        <f>IF(OR(B181="",COUNTIF($B$6:$B181,B181)&gt;1),"",B181)</f>
        <v/>
      </c>
      <c r="Q181" t="str">
        <f t="shared" si="8"/>
        <v/>
      </c>
      <c r="R181" t="str">
        <f t="shared" si="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P182" t="str">
        <f>IF(OR(B182="",COUNTIF($B$6:$B182,B182)&gt;1),"",B182)</f>
        <v/>
      </c>
      <c r="Q182" t="str">
        <f t="shared" si="8"/>
        <v/>
      </c>
      <c r="R182" t="str">
        <f t="shared" si="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P183" t="str">
        <f>IF(OR(B183="",COUNTIF($B$6:$B183,B183)&gt;1),"",B183)</f>
        <v/>
      </c>
      <c r="Q183" t="str">
        <f t="shared" si="8"/>
        <v/>
      </c>
      <c r="R183" t="str">
        <f t="shared" si="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P184" t="str">
        <f>IF(OR(B184="",COUNTIF($B$6:$B184,B184)&gt;1),"",B184)</f>
        <v/>
      </c>
      <c r="Q184" t="str">
        <f t="shared" si="8"/>
        <v/>
      </c>
      <c r="R184" t="str">
        <f t="shared" si="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P185" t="str">
        <f>IF(OR(B185="",COUNTIF($B$6:$B185,B185)&gt;1),"",B185)</f>
        <v/>
      </c>
      <c r="Q185" t="str">
        <f t="shared" si="8"/>
        <v/>
      </c>
      <c r="R185" t="str">
        <f t="shared" si="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P186" t="str">
        <f>IF(OR(B186="",COUNTIF($B$6:$B186,B186)&gt;1),"",B186)</f>
        <v/>
      </c>
      <c r="Q186" t="str">
        <f t="shared" si="8"/>
        <v/>
      </c>
      <c r="R186" t="str">
        <f t="shared" si="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P187" t="str">
        <f>IF(OR(B187="",COUNTIF($B$6:$B187,B187)&gt;1),"",B187)</f>
        <v/>
      </c>
      <c r="Q187" t="str">
        <f t="shared" si="8"/>
        <v/>
      </c>
      <c r="R187" t="str">
        <f t="shared" si="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P188" t="str">
        <f>IF(OR(B188="",COUNTIF($B$6:$B188,B188)&gt;1),"",B188)</f>
        <v/>
      </c>
      <c r="Q188" t="str">
        <f t="shared" si="8"/>
        <v/>
      </c>
      <c r="R188" t="str">
        <f t="shared" si="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P189" t="str">
        <f>IF(OR(B189="",COUNTIF($B$6:$B189,B189)&gt;1),"",B189)</f>
        <v/>
      </c>
      <c r="Q189" t="str">
        <f t="shared" si="8"/>
        <v/>
      </c>
      <c r="R189" t="str">
        <f t="shared" si="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P190" t="str">
        <f>IF(OR(B190="",COUNTIF($B$6:$B190,B190)&gt;1),"",B190)</f>
        <v/>
      </c>
      <c r="Q190" t="str">
        <f t="shared" si="8"/>
        <v/>
      </c>
      <c r="R190" t="str">
        <f t="shared" si="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P191" t="str">
        <f>IF(OR(B191="",COUNTIF($B$6:$B191,B191)&gt;1),"",B191)</f>
        <v/>
      </c>
      <c r="Q191" t="str">
        <f t="shared" si="8"/>
        <v/>
      </c>
      <c r="R191" t="str">
        <f t="shared" si="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P192" t="str">
        <f>IF(OR(B192="",COUNTIF($B$6:$B192,B192)&gt;1),"",B192)</f>
        <v/>
      </c>
      <c r="Q192" t="str">
        <f t="shared" si="8"/>
        <v/>
      </c>
      <c r="R192" t="str">
        <f t="shared" si="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P193" t="str">
        <f>IF(OR(B193="",COUNTIF($B$6:$B193,B193)&gt;1),"",B193)</f>
        <v/>
      </c>
      <c r="Q193" t="str">
        <f t="shared" si="8"/>
        <v/>
      </c>
      <c r="R193" t="str">
        <f t="shared" si="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P194" t="str">
        <f>IF(OR(B194="",COUNTIF($B$6:$B194,B194)&gt;1),"",B194)</f>
        <v/>
      </c>
      <c r="Q194" t="str">
        <f t="shared" si="8"/>
        <v/>
      </c>
      <c r="R194" t="str">
        <f t="shared" si="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P195" t="str">
        <f>IF(OR(B195="",COUNTIF($B$6:$B195,B195)&gt;1),"",B195)</f>
        <v/>
      </c>
      <c r="Q195" t="str">
        <f t="shared" si="8"/>
        <v/>
      </c>
      <c r="R195" t="str">
        <f t="shared" si="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P196" t="str">
        <f>IF(OR(B196="",COUNTIF($B$6:$B196,B196)&gt;1),"",B196)</f>
        <v/>
      </c>
      <c r="Q196" t="str">
        <f t="shared" si="8"/>
        <v/>
      </c>
      <c r="R196" t="str">
        <f t="shared" si="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P197" t="str">
        <f>IF(OR(B197="",COUNTIF($B$6:$B197,B197)&gt;1),"",B197)</f>
        <v/>
      </c>
      <c r="Q197" t="str">
        <f t="shared" si="8"/>
        <v/>
      </c>
      <c r="R197" t="str">
        <f t="shared" si="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P198" t="str">
        <f>IF(OR(B198="",COUNTIF($B$6:$B198,B198)&gt;1),"",B198)</f>
        <v/>
      </c>
      <c r="Q198" t="str">
        <f t="shared" ref="Q198:Q261" si="10">IF(P198="","",C198)</f>
        <v/>
      </c>
      <c r="R198" t="str">
        <f t="shared" ref="R198:R261" si="11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P199" t="str">
        <f>IF(OR(B199="",COUNTIF($B$6:$B199,B199)&gt;1),"",B199)</f>
        <v/>
      </c>
      <c r="Q199" t="str">
        <f t="shared" si="10"/>
        <v/>
      </c>
      <c r="R199" t="str">
        <f t="shared" si="11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P200" t="str">
        <f>IF(OR(B200="",COUNTIF($B$6:$B200,B200)&gt;1),"",B200)</f>
        <v/>
      </c>
      <c r="Q200" t="str">
        <f t="shared" si="10"/>
        <v/>
      </c>
      <c r="R200" t="str">
        <f t="shared" si="11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P201" t="str">
        <f>IF(OR(B201="",COUNTIF($B$6:$B201,B201)&gt;1),"",B201)</f>
        <v/>
      </c>
      <c r="Q201" t="str">
        <f t="shared" si="10"/>
        <v/>
      </c>
      <c r="R201" t="str">
        <f t="shared" si="11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P202" t="str">
        <f>IF(OR(B202="",COUNTIF($B$6:$B202,B202)&gt;1),"",B202)</f>
        <v/>
      </c>
      <c r="Q202" t="str">
        <f t="shared" si="10"/>
        <v/>
      </c>
      <c r="R202" t="str">
        <f t="shared" si="11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P203" t="str">
        <f>IF(OR(B203="",COUNTIF($B$6:$B203,B203)&gt;1),"",B203)</f>
        <v/>
      </c>
      <c r="Q203" t="str">
        <f t="shared" si="10"/>
        <v/>
      </c>
      <c r="R203" t="str">
        <f t="shared" si="11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P204" t="str">
        <f>IF(OR(B204="",COUNTIF($B$6:$B204,B204)&gt;1),"",B204)</f>
        <v/>
      </c>
      <c r="Q204" t="str">
        <f t="shared" si="10"/>
        <v/>
      </c>
      <c r="R204" t="str">
        <f t="shared" si="11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P205" t="str">
        <f>IF(OR(B205="",COUNTIF($B$6:$B205,B205)&gt;1),"",B205)</f>
        <v/>
      </c>
      <c r="Q205" t="str">
        <f t="shared" si="10"/>
        <v/>
      </c>
      <c r="R205" t="str">
        <f t="shared" si="11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P206" t="str">
        <f>IF(OR(B206="",COUNTIF($B$6:$B206,B206)&gt;1),"",B206)</f>
        <v/>
      </c>
      <c r="Q206" t="str">
        <f t="shared" si="10"/>
        <v/>
      </c>
      <c r="R206" t="str">
        <f t="shared" si="11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P207" t="str">
        <f>IF(OR(B207="",COUNTIF($B$6:$B207,B207)&gt;1),"",B207)</f>
        <v/>
      </c>
      <c r="Q207" t="str">
        <f t="shared" si="10"/>
        <v/>
      </c>
      <c r="R207" t="str">
        <f t="shared" si="11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P208" t="str">
        <f>IF(OR(B208="",COUNTIF($B$6:$B208,B208)&gt;1),"",B208)</f>
        <v/>
      </c>
      <c r="Q208" t="str">
        <f t="shared" si="10"/>
        <v/>
      </c>
      <c r="R208" t="str">
        <f t="shared" si="11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P209" t="str">
        <f>IF(OR(B209="",COUNTIF($B$6:$B209,B209)&gt;1),"",B209)</f>
        <v/>
      </c>
      <c r="Q209" t="str">
        <f t="shared" si="10"/>
        <v/>
      </c>
      <c r="R209" t="str">
        <f t="shared" si="11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P210" t="str">
        <f>IF(OR(B210="",COUNTIF($B$6:$B210,B210)&gt;1),"",B210)</f>
        <v/>
      </c>
      <c r="Q210" t="str">
        <f t="shared" si="10"/>
        <v/>
      </c>
      <c r="R210" t="str">
        <f t="shared" si="11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P211" t="str">
        <f>IF(OR(B211="",COUNTIF($B$6:$B211,B211)&gt;1),"",B211)</f>
        <v/>
      </c>
      <c r="Q211" t="str">
        <f t="shared" si="10"/>
        <v/>
      </c>
      <c r="R211" t="str">
        <f t="shared" si="11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P212" t="str">
        <f>IF(OR(B212="",COUNTIF($B$6:$B212,B212)&gt;1),"",B212)</f>
        <v/>
      </c>
      <c r="Q212" t="str">
        <f t="shared" si="10"/>
        <v/>
      </c>
      <c r="R212" t="str">
        <f t="shared" si="11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P213" t="str">
        <f>IF(OR(B213="",COUNTIF($B$6:$B213,B213)&gt;1),"",B213)</f>
        <v/>
      </c>
      <c r="Q213" t="str">
        <f t="shared" si="10"/>
        <v/>
      </c>
      <c r="R213" t="str">
        <f t="shared" si="11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P214" t="str">
        <f>IF(OR(B214="",COUNTIF($B$6:$B214,B214)&gt;1),"",B214)</f>
        <v/>
      </c>
      <c r="Q214" t="str">
        <f t="shared" si="10"/>
        <v/>
      </c>
      <c r="R214" t="str">
        <f t="shared" si="11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P215" t="str">
        <f>IF(OR(B215="",COUNTIF($B$6:$B215,B215)&gt;1),"",B215)</f>
        <v/>
      </c>
      <c r="Q215" t="str">
        <f t="shared" si="10"/>
        <v/>
      </c>
      <c r="R215" t="str">
        <f t="shared" si="11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P216" t="str">
        <f>IF(OR(B216="",COUNTIF($B$6:$B216,B216)&gt;1),"",B216)</f>
        <v/>
      </c>
      <c r="Q216" t="str">
        <f t="shared" si="10"/>
        <v/>
      </c>
      <c r="R216" t="str">
        <f t="shared" si="11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P217" t="str">
        <f>IF(OR(B217="",COUNTIF($B$6:$B217,B217)&gt;1),"",B217)</f>
        <v/>
      </c>
      <c r="Q217" t="str">
        <f t="shared" si="10"/>
        <v/>
      </c>
      <c r="R217" t="str">
        <f t="shared" si="11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P218" t="str">
        <f>IF(OR(B218="",COUNTIF($B$6:$B218,B218)&gt;1),"",B218)</f>
        <v/>
      </c>
      <c r="Q218" t="str">
        <f t="shared" si="10"/>
        <v/>
      </c>
      <c r="R218" t="str">
        <f t="shared" si="11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P219" t="str">
        <f>IF(OR(B219="",COUNTIF($B$6:$B219,B219)&gt;1),"",B219)</f>
        <v/>
      </c>
      <c r="Q219" t="str">
        <f t="shared" si="10"/>
        <v/>
      </c>
      <c r="R219" t="str">
        <f t="shared" si="11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P220" t="str">
        <f>IF(OR(B220="",COUNTIF($B$6:$B220,B220)&gt;1),"",B220)</f>
        <v/>
      </c>
      <c r="Q220" t="str">
        <f t="shared" si="10"/>
        <v/>
      </c>
      <c r="R220" t="str">
        <f t="shared" si="11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P221" t="str">
        <f>IF(OR(B221="",COUNTIF($B$6:$B221,B221)&gt;1),"",B221)</f>
        <v/>
      </c>
      <c r="Q221" t="str">
        <f t="shared" si="10"/>
        <v/>
      </c>
      <c r="R221" t="str">
        <f t="shared" si="11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P222" t="str">
        <f>IF(OR(B222="",COUNTIF($B$6:$B222,B222)&gt;1),"",B222)</f>
        <v/>
      </c>
      <c r="Q222" t="str">
        <f t="shared" si="10"/>
        <v/>
      </c>
      <c r="R222" t="str">
        <f t="shared" si="11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P223" t="str">
        <f>IF(OR(B223="",COUNTIF($B$6:$B223,B223)&gt;1),"",B223)</f>
        <v/>
      </c>
      <c r="Q223" t="str">
        <f t="shared" si="10"/>
        <v/>
      </c>
      <c r="R223" t="str">
        <f t="shared" si="11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P224" t="str">
        <f>IF(OR(B224="",COUNTIF($B$6:$B224,B224)&gt;1),"",B224)</f>
        <v/>
      </c>
      <c r="Q224" t="str">
        <f t="shared" si="10"/>
        <v/>
      </c>
      <c r="R224" t="str">
        <f t="shared" si="11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P225" t="str">
        <f>IF(OR(B225="",COUNTIF($B$6:$B225,B225)&gt;1),"",B225)</f>
        <v/>
      </c>
      <c r="Q225" t="str">
        <f t="shared" si="10"/>
        <v/>
      </c>
      <c r="R225" t="str">
        <f t="shared" si="11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P226" t="str">
        <f>IF(OR(B226="",COUNTIF($B$6:$B226,B226)&gt;1),"",B226)</f>
        <v/>
      </c>
      <c r="Q226" t="str">
        <f t="shared" si="10"/>
        <v/>
      </c>
      <c r="R226" t="str">
        <f t="shared" si="11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P227" t="str">
        <f>IF(OR(B227="",COUNTIF($B$6:$B227,B227)&gt;1),"",B227)</f>
        <v/>
      </c>
      <c r="Q227" t="str">
        <f t="shared" si="10"/>
        <v/>
      </c>
      <c r="R227" t="str">
        <f t="shared" si="11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P228" t="str">
        <f>IF(OR(B228="",COUNTIF($B$6:$B228,B228)&gt;1),"",B228)</f>
        <v/>
      </c>
      <c r="Q228" t="str">
        <f t="shared" si="10"/>
        <v/>
      </c>
      <c r="R228" t="str">
        <f t="shared" si="11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P229" t="str">
        <f>IF(OR(B229="",COUNTIF($B$6:$B229,B229)&gt;1),"",B229)</f>
        <v/>
      </c>
      <c r="Q229" t="str">
        <f t="shared" si="10"/>
        <v/>
      </c>
      <c r="R229" t="str">
        <f t="shared" si="11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P230" t="str">
        <f>IF(OR(B230="",COUNTIF($B$6:$B230,B230)&gt;1),"",B230)</f>
        <v/>
      </c>
      <c r="Q230" t="str">
        <f t="shared" si="10"/>
        <v/>
      </c>
      <c r="R230" t="str">
        <f t="shared" si="11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P231" t="str">
        <f>IF(OR(B231="",COUNTIF($B$6:$B231,B231)&gt;1),"",B231)</f>
        <v/>
      </c>
      <c r="Q231" t="str">
        <f t="shared" si="10"/>
        <v/>
      </c>
      <c r="R231" t="str">
        <f t="shared" si="11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P232" t="str">
        <f>IF(OR(B232="",COUNTIF($B$6:$B232,B232)&gt;1),"",B232)</f>
        <v/>
      </c>
      <c r="Q232" t="str">
        <f t="shared" si="10"/>
        <v/>
      </c>
      <c r="R232" t="str">
        <f t="shared" si="11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P233" t="str">
        <f>IF(OR(B233="",COUNTIF($B$6:$B233,B233)&gt;1),"",B233)</f>
        <v/>
      </c>
      <c r="Q233" t="str">
        <f t="shared" si="10"/>
        <v/>
      </c>
      <c r="R233" t="str">
        <f t="shared" si="11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P234" t="str">
        <f>IF(OR(B234="",COUNTIF($B$6:$B234,B234)&gt;1),"",B234)</f>
        <v/>
      </c>
      <c r="Q234" t="str">
        <f t="shared" si="10"/>
        <v/>
      </c>
      <c r="R234" t="str">
        <f t="shared" si="11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P235" t="str">
        <f>IF(OR(B235="",COUNTIF($B$6:$B235,B235)&gt;1),"",B235)</f>
        <v/>
      </c>
      <c r="Q235" t="str">
        <f t="shared" si="10"/>
        <v/>
      </c>
      <c r="R235" t="str">
        <f t="shared" si="11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P236" t="str">
        <f>IF(OR(B236="",COUNTIF($B$6:$B236,B236)&gt;1),"",B236)</f>
        <v/>
      </c>
      <c r="Q236" t="str">
        <f t="shared" si="10"/>
        <v/>
      </c>
      <c r="R236" t="str">
        <f t="shared" si="11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P237" t="str">
        <f>IF(OR(B237="",COUNTIF($B$6:$B237,B237)&gt;1),"",B237)</f>
        <v/>
      </c>
      <c r="Q237" t="str">
        <f t="shared" si="10"/>
        <v/>
      </c>
      <c r="R237" t="str">
        <f t="shared" si="11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P238" t="str">
        <f>IF(OR(B238="",COUNTIF($B$6:$B238,B238)&gt;1),"",B238)</f>
        <v/>
      </c>
      <c r="Q238" t="str">
        <f t="shared" si="10"/>
        <v/>
      </c>
      <c r="R238" t="str">
        <f t="shared" si="11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P239" t="str">
        <f>IF(OR(B239="",COUNTIF($B$6:$B239,B239)&gt;1),"",B239)</f>
        <v/>
      </c>
      <c r="Q239" t="str">
        <f t="shared" si="10"/>
        <v/>
      </c>
      <c r="R239" t="str">
        <f t="shared" si="11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P240" t="str">
        <f>IF(OR(B240="",COUNTIF($B$6:$B240,B240)&gt;1),"",B240)</f>
        <v/>
      </c>
      <c r="Q240" t="str">
        <f t="shared" si="10"/>
        <v/>
      </c>
      <c r="R240" t="str">
        <f t="shared" si="11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P241" t="str">
        <f>IF(OR(B241="",COUNTIF($B$6:$B241,B241)&gt;1),"",B241)</f>
        <v/>
      </c>
      <c r="Q241" t="str">
        <f t="shared" si="10"/>
        <v/>
      </c>
      <c r="R241" t="str">
        <f t="shared" si="11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P242" t="str">
        <f>IF(OR(B242="",COUNTIF($B$6:$B242,B242)&gt;1),"",B242)</f>
        <v/>
      </c>
      <c r="Q242" t="str">
        <f t="shared" si="10"/>
        <v/>
      </c>
      <c r="R242" t="str">
        <f t="shared" si="11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P243" t="str">
        <f>IF(OR(B243="",COUNTIF($B$6:$B243,B243)&gt;1),"",B243)</f>
        <v/>
      </c>
      <c r="Q243" t="str">
        <f t="shared" si="10"/>
        <v/>
      </c>
      <c r="R243" t="str">
        <f t="shared" si="11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P244" t="str">
        <f>IF(OR(B244="",COUNTIF($B$6:$B244,B244)&gt;1),"",B244)</f>
        <v/>
      </c>
      <c r="Q244" t="str">
        <f t="shared" si="10"/>
        <v/>
      </c>
      <c r="R244" t="str">
        <f t="shared" si="11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P245" t="str">
        <f>IF(OR(B245="",COUNTIF($B$6:$B245,B245)&gt;1),"",B245)</f>
        <v/>
      </c>
      <c r="Q245" t="str">
        <f t="shared" si="10"/>
        <v/>
      </c>
      <c r="R245" t="str">
        <f t="shared" si="11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P246" t="str">
        <f>IF(OR(B246="",COUNTIF($B$6:$B246,B246)&gt;1),"",B246)</f>
        <v/>
      </c>
      <c r="Q246" t="str">
        <f t="shared" si="10"/>
        <v/>
      </c>
      <c r="R246" t="str">
        <f t="shared" si="11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P247" t="str">
        <f>IF(OR(B247="",COUNTIF($B$6:$B247,B247)&gt;1),"",B247)</f>
        <v/>
      </c>
      <c r="Q247" t="str">
        <f t="shared" si="10"/>
        <v/>
      </c>
      <c r="R247" t="str">
        <f t="shared" si="11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P248" t="str">
        <f>IF(OR(B248="",COUNTIF($B$6:$B248,B248)&gt;1),"",B248)</f>
        <v/>
      </c>
      <c r="Q248" t="str">
        <f t="shared" si="10"/>
        <v/>
      </c>
      <c r="R248" t="str">
        <f t="shared" si="11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P249" t="str">
        <f>IF(OR(B249="",COUNTIF($B$6:$B249,B249)&gt;1),"",B249)</f>
        <v/>
      </c>
      <c r="Q249" t="str">
        <f t="shared" si="10"/>
        <v/>
      </c>
      <c r="R249" t="str">
        <f t="shared" si="11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P250" t="str">
        <f>IF(OR(B250="",COUNTIF($B$6:$B250,B250)&gt;1),"",B250)</f>
        <v/>
      </c>
      <c r="Q250" t="str">
        <f t="shared" si="10"/>
        <v/>
      </c>
      <c r="R250" t="str">
        <f t="shared" si="11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P251" t="str">
        <f>IF(OR(B251="",COUNTIF($B$6:$B251,B251)&gt;1),"",B251)</f>
        <v/>
      </c>
      <c r="Q251" t="str">
        <f t="shared" si="10"/>
        <v/>
      </c>
      <c r="R251" t="str">
        <f t="shared" si="11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P252" t="str">
        <f>IF(OR(B252="",COUNTIF($B$6:$B252,B252)&gt;1),"",B252)</f>
        <v/>
      </c>
      <c r="Q252" t="str">
        <f t="shared" si="10"/>
        <v/>
      </c>
      <c r="R252" t="str">
        <f t="shared" si="11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P253" t="str">
        <f>IF(OR(B253="",COUNTIF($B$6:$B253,B253)&gt;1),"",B253)</f>
        <v/>
      </c>
      <c r="Q253" t="str">
        <f t="shared" si="10"/>
        <v/>
      </c>
      <c r="R253" t="str">
        <f t="shared" si="11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P254" t="str">
        <f>IF(OR(B254="",COUNTIF($B$6:$B254,B254)&gt;1),"",B254)</f>
        <v/>
      </c>
      <c r="Q254" t="str">
        <f t="shared" si="10"/>
        <v/>
      </c>
      <c r="R254" t="str">
        <f t="shared" si="11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P255" t="str">
        <f>IF(OR(B255="",COUNTIF($B$6:$B255,B255)&gt;1),"",B255)</f>
        <v/>
      </c>
      <c r="Q255" t="str">
        <f t="shared" si="10"/>
        <v/>
      </c>
      <c r="R255" t="str">
        <f t="shared" si="11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P256" t="str">
        <f>IF(OR(B256="",COUNTIF($B$6:$B256,B256)&gt;1),"",B256)</f>
        <v/>
      </c>
      <c r="Q256" t="str">
        <f t="shared" si="10"/>
        <v/>
      </c>
      <c r="R256" t="str">
        <f t="shared" si="11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P257" t="str">
        <f>IF(OR(B257="",COUNTIF($B$6:$B257,B257)&gt;1),"",B257)</f>
        <v/>
      </c>
      <c r="Q257" t="str">
        <f t="shared" si="10"/>
        <v/>
      </c>
      <c r="R257" t="str">
        <f t="shared" si="11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P258" t="str">
        <f>IF(OR(B258="",COUNTIF($B$6:$B258,B258)&gt;1),"",B258)</f>
        <v/>
      </c>
      <c r="Q258" t="str">
        <f t="shared" si="10"/>
        <v/>
      </c>
      <c r="R258" t="str">
        <f t="shared" si="11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P259" t="str">
        <f>IF(OR(B259="",COUNTIF($B$6:$B259,B259)&gt;1),"",B259)</f>
        <v/>
      </c>
      <c r="Q259" t="str">
        <f t="shared" si="10"/>
        <v/>
      </c>
      <c r="R259" t="str">
        <f t="shared" si="11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P260" t="str">
        <f>IF(OR(B260="",COUNTIF($B$6:$B260,B260)&gt;1),"",B260)</f>
        <v/>
      </c>
      <c r="Q260" t="str">
        <f t="shared" si="10"/>
        <v/>
      </c>
      <c r="R260" t="str">
        <f t="shared" si="11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P261" t="str">
        <f>IF(OR(B261="",COUNTIF($B$6:$B261,B261)&gt;1),"",B261)</f>
        <v/>
      </c>
      <c r="Q261" t="str">
        <f t="shared" si="10"/>
        <v/>
      </c>
      <c r="R261" t="str">
        <f t="shared" si="11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P262" t="str">
        <f>IF(OR(B262="",COUNTIF($B$6:$B262,B262)&gt;1),"",B262)</f>
        <v/>
      </c>
      <c r="Q262" t="str">
        <f t="shared" ref="Q262:Q325" si="12">IF(P262="","",C262)</f>
        <v/>
      </c>
      <c r="R262" t="str">
        <f t="shared" ref="R262:R305" si="13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P263" t="str">
        <f>IF(OR(B263="",COUNTIF($B$6:$B263,B263)&gt;1),"",B263)</f>
        <v/>
      </c>
      <c r="Q263" t="str">
        <f t="shared" si="12"/>
        <v/>
      </c>
      <c r="R263" t="str">
        <f t="shared" si="13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P264" t="str">
        <f>IF(OR(B264="",COUNTIF($B$6:$B264,B264)&gt;1),"",B264)</f>
        <v/>
      </c>
      <c r="Q264" t="str">
        <f t="shared" si="12"/>
        <v/>
      </c>
      <c r="R264" t="str">
        <f t="shared" si="13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P265" t="str">
        <f>IF(OR(B265="",COUNTIF($B$6:$B265,B265)&gt;1),"",B265)</f>
        <v/>
      </c>
      <c r="Q265" t="str">
        <f t="shared" si="12"/>
        <v/>
      </c>
      <c r="R265" t="str">
        <f t="shared" si="13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P266" t="str">
        <f>IF(OR(B266="",COUNTIF($B$6:$B266,B266)&gt;1),"",B266)</f>
        <v/>
      </c>
      <c r="Q266" t="str">
        <f t="shared" si="12"/>
        <v/>
      </c>
      <c r="R266" t="str">
        <f t="shared" si="13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P267" t="str">
        <f>IF(OR(B267="",COUNTIF($B$6:$B267,B267)&gt;1),"",B267)</f>
        <v/>
      </c>
      <c r="Q267" t="str">
        <f t="shared" si="12"/>
        <v/>
      </c>
      <c r="R267" t="str">
        <f t="shared" si="13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P268" t="str">
        <f>IF(OR(B268="",COUNTIF($B$6:$B268,B268)&gt;1),"",B268)</f>
        <v/>
      </c>
      <c r="Q268" t="str">
        <f t="shared" si="12"/>
        <v/>
      </c>
      <c r="R268" t="str">
        <f t="shared" si="13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P269" t="str">
        <f>IF(OR(B269="",COUNTIF($B$6:$B269,B269)&gt;1),"",B269)</f>
        <v/>
      </c>
      <c r="Q269" t="str">
        <f t="shared" si="12"/>
        <v/>
      </c>
      <c r="R269" t="str">
        <f t="shared" si="13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P270" t="str">
        <f>IF(OR(B270="",COUNTIF($B$6:$B270,B270)&gt;1),"",B270)</f>
        <v/>
      </c>
      <c r="Q270" t="str">
        <f t="shared" si="12"/>
        <v/>
      </c>
      <c r="R270" t="str">
        <f t="shared" si="13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P271" t="str">
        <f>IF(OR(B271="",COUNTIF($B$6:$B271,B271)&gt;1),"",B271)</f>
        <v/>
      </c>
      <c r="Q271" t="str">
        <f t="shared" si="12"/>
        <v/>
      </c>
      <c r="R271" t="str">
        <f t="shared" si="13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P272" t="str">
        <f>IF(OR(B272="",COUNTIF($B$6:$B272,B272)&gt;1),"",B272)</f>
        <v/>
      </c>
      <c r="Q272" t="str">
        <f t="shared" si="12"/>
        <v/>
      </c>
      <c r="R272" t="str">
        <f t="shared" si="13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P273" t="str">
        <f>IF(OR(B273="",COUNTIF($B$6:$B273,B273)&gt;1),"",B273)</f>
        <v/>
      </c>
      <c r="Q273" t="str">
        <f t="shared" si="12"/>
        <v/>
      </c>
      <c r="R273" t="str">
        <f t="shared" si="13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P274" t="str">
        <f>IF(OR(B274="",COUNTIF($B$6:$B274,B274)&gt;1),"",B274)</f>
        <v/>
      </c>
      <c r="Q274" t="str">
        <f t="shared" si="12"/>
        <v/>
      </c>
      <c r="R274" t="str">
        <f t="shared" si="13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P275" t="str">
        <f>IF(OR(B275="",COUNTIF($B$6:$B275,B275)&gt;1),"",B275)</f>
        <v/>
      </c>
      <c r="Q275" t="str">
        <f t="shared" si="12"/>
        <v/>
      </c>
      <c r="R275" t="str">
        <f t="shared" si="13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P276" t="str">
        <f>IF(OR(B276="",COUNTIF($B$6:$B276,B276)&gt;1),"",B276)</f>
        <v/>
      </c>
      <c r="Q276" t="str">
        <f t="shared" si="12"/>
        <v/>
      </c>
      <c r="R276" t="str">
        <f t="shared" si="13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P277" t="str">
        <f>IF(OR(B277="",COUNTIF($B$6:$B277,B277)&gt;1),"",B277)</f>
        <v/>
      </c>
      <c r="Q277" t="str">
        <f t="shared" si="12"/>
        <v/>
      </c>
      <c r="R277" t="str">
        <f t="shared" si="13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P278" t="str">
        <f>IF(OR(B278="",COUNTIF($B$6:$B278,B278)&gt;1),"",B278)</f>
        <v/>
      </c>
      <c r="Q278" t="str">
        <f t="shared" si="12"/>
        <v/>
      </c>
      <c r="R278" t="str">
        <f t="shared" si="13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P279" t="str">
        <f>IF(OR(B279="",COUNTIF($B$6:$B279,B279)&gt;1),"",B279)</f>
        <v/>
      </c>
      <c r="Q279" t="str">
        <f t="shared" si="12"/>
        <v/>
      </c>
      <c r="R279" t="str">
        <f t="shared" si="13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P280" t="str">
        <f>IF(OR(B280="",COUNTIF($B$6:$B280,B280)&gt;1),"",B280)</f>
        <v/>
      </c>
      <c r="Q280" t="str">
        <f t="shared" si="12"/>
        <v/>
      </c>
      <c r="R280" t="str">
        <f t="shared" si="13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P281" t="str">
        <f>IF(OR(B281="",COUNTIF($B$6:$B281,B281)&gt;1),"",B281)</f>
        <v/>
      </c>
      <c r="Q281" t="str">
        <f t="shared" si="12"/>
        <v/>
      </c>
      <c r="R281" t="str">
        <f t="shared" si="13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P282" t="str">
        <f>IF(OR(B282="",COUNTIF($B$6:$B282,B282)&gt;1),"",B282)</f>
        <v/>
      </c>
      <c r="Q282" t="str">
        <f t="shared" si="12"/>
        <v/>
      </c>
      <c r="R282" t="str">
        <f t="shared" si="13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P283" t="str">
        <f>IF(OR(B283="",COUNTIF($B$6:$B283,B283)&gt;1),"",B283)</f>
        <v/>
      </c>
      <c r="Q283" t="str">
        <f t="shared" si="12"/>
        <v/>
      </c>
      <c r="R283" t="str">
        <f t="shared" si="13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P284" t="str">
        <f>IF(OR(B284="",COUNTIF($B$6:$B284,B284)&gt;1),"",B284)</f>
        <v/>
      </c>
      <c r="Q284" t="str">
        <f t="shared" si="12"/>
        <v/>
      </c>
      <c r="R284" t="str">
        <f t="shared" si="13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P285" t="str">
        <f>IF(OR(B285="",COUNTIF($B$6:$B285,B285)&gt;1),"",B285)</f>
        <v/>
      </c>
      <c r="Q285" t="str">
        <f t="shared" si="12"/>
        <v/>
      </c>
      <c r="R285" t="str">
        <f t="shared" si="13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P286" t="str">
        <f>IF(OR(B286="",COUNTIF($B$6:$B286,B286)&gt;1),"",B286)</f>
        <v/>
      </c>
      <c r="Q286" t="str">
        <f t="shared" si="12"/>
        <v/>
      </c>
      <c r="R286" t="str">
        <f t="shared" si="13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P287" t="str">
        <f>IF(OR(B287="",COUNTIF($B$6:$B287,B287)&gt;1),"",B287)</f>
        <v/>
      </c>
      <c r="Q287" t="str">
        <f t="shared" si="12"/>
        <v/>
      </c>
      <c r="R287" t="str">
        <f t="shared" si="13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P288" t="str">
        <f>IF(OR(B288="",COUNTIF($B$6:$B288,B288)&gt;1),"",B288)</f>
        <v/>
      </c>
      <c r="Q288" t="str">
        <f t="shared" si="12"/>
        <v/>
      </c>
      <c r="R288" t="str">
        <f t="shared" si="13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P289" t="str">
        <f>IF(OR(B289="",COUNTIF($B$6:$B289,B289)&gt;1),"",B289)</f>
        <v/>
      </c>
      <c r="Q289" t="str">
        <f t="shared" si="12"/>
        <v/>
      </c>
      <c r="R289" t="str">
        <f t="shared" si="13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P290" t="str">
        <f>IF(OR(B290="",COUNTIF($B$6:$B290,B290)&gt;1),"",B290)</f>
        <v/>
      </c>
      <c r="Q290" t="str">
        <f t="shared" si="12"/>
        <v/>
      </c>
      <c r="R290" t="str">
        <f t="shared" si="13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P291" t="str">
        <f>IF(OR(B291="",COUNTIF($B$6:$B291,B291)&gt;1),"",B291)</f>
        <v/>
      </c>
      <c r="Q291" t="str">
        <f t="shared" si="12"/>
        <v/>
      </c>
      <c r="R291" t="str">
        <f t="shared" si="13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P292" t="str">
        <f>IF(OR(B292="",COUNTIF($B$6:$B292,B292)&gt;1),"",B292)</f>
        <v/>
      </c>
      <c r="Q292" t="str">
        <f t="shared" si="12"/>
        <v/>
      </c>
      <c r="R292" t="str">
        <f t="shared" si="13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P293" t="str">
        <f>IF(OR(B293="",COUNTIF($B$6:$B293,B293)&gt;1),"",B293)</f>
        <v/>
      </c>
      <c r="Q293" t="str">
        <f t="shared" si="12"/>
        <v/>
      </c>
      <c r="R293" t="str">
        <f t="shared" si="13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P294" t="str">
        <f>IF(OR(B294="",COUNTIF($B$6:$B294,B294)&gt;1),"",B294)</f>
        <v/>
      </c>
      <c r="Q294" t="str">
        <f t="shared" si="12"/>
        <v/>
      </c>
      <c r="R294" t="str">
        <f t="shared" si="13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P295" t="str">
        <f>IF(OR(B295="",COUNTIF($B$6:$B295,B295)&gt;1),"",B295)</f>
        <v/>
      </c>
      <c r="Q295" t="str">
        <f t="shared" si="12"/>
        <v/>
      </c>
      <c r="R295" t="str">
        <f t="shared" si="13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P296" t="str">
        <f>IF(OR(B296="",COUNTIF($B$6:$B296,B296)&gt;1),"",B296)</f>
        <v/>
      </c>
      <c r="Q296" t="str">
        <f t="shared" si="12"/>
        <v/>
      </c>
      <c r="R296" t="str">
        <f t="shared" si="13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P297" t="str">
        <f>IF(OR(B297="",COUNTIF($B$6:$B297,B297)&gt;1),"",B297)</f>
        <v/>
      </c>
      <c r="Q297" t="str">
        <f t="shared" si="12"/>
        <v/>
      </c>
      <c r="R297" t="str">
        <f t="shared" si="13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P298" t="str">
        <f>IF(OR(B298="",COUNTIF($B$6:$B298,B298)&gt;1),"",B298)</f>
        <v/>
      </c>
      <c r="Q298" t="str">
        <f t="shared" si="12"/>
        <v/>
      </c>
      <c r="R298" t="str">
        <f t="shared" si="13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P299" t="str">
        <f>IF(OR(B299="",COUNTIF($B$6:$B299,B299)&gt;1),"",B299)</f>
        <v/>
      </c>
      <c r="Q299" t="str">
        <f t="shared" si="12"/>
        <v/>
      </c>
      <c r="R299" t="str">
        <f t="shared" si="13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P300" t="str">
        <f>IF(OR(B300="",COUNTIF($B$6:$B300,B300)&gt;1),"",B300)</f>
        <v/>
      </c>
      <c r="Q300" t="str">
        <f t="shared" si="12"/>
        <v/>
      </c>
      <c r="R300" t="str">
        <f t="shared" si="13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P301" t="str">
        <f>IF(OR(B301="",COUNTIF($B$6:$B301,B301)&gt;1),"",B301)</f>
        <v/>
      </c>
      <c r="Q301" t="str">
        <f t="shared" si="12"/>
        <v/>
      </c>
      <c r="R301" t="str">
        <f t="shared" si="13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P302" t="str">
        <f>IF(OR(B302="",COUNTIF($B$6:$B302,B302)&gt;1),"",B302)</f>
        <v/>
      </c>
      <c r="Q302" t="str">
        <f t="shared" si="12"/>
        <v/>
      </c>
      <c r="R302" t="str">
        <f t="shared" si="13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P303" t="str">
        <f>IF(OR(B303="",COUNTIF($B$6:$B303,B303)&gt;1),"",B303)</f>
        <v/>
      </c>
      <c r="Q303" t="str">
        <f t="shared" si="12"/>
        <v/>
      </c>
      <c r="R303" t="str">
        <f t="shared" si="13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P304" t="str">
        <f>IF(OR(B304="",COUNTIF($B$6:$B304,B304)&gt;1),"",B304)</f>
        <v/>
      </c>
      <c r="Q304" t="str">
        <f t="shared" si="12"/>
        <v/>
      </c>
      <c r="R304" t="str">
        <f t="shared" si="13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P305" t="str">
        <f>IF(OR(B305="",COUNTIF($B$6:$B305,B305)&gt;1),"",B305)</f>
        <v/>
      </c>
      <c r="Q305" t="str">
        <f t="shared" si="12"/>
        <v/>
      </c>
      <c r="R305" t="str">
        <f t="shared" si="13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32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2026-06-12T04:01:01Z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