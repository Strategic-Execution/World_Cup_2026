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F195B185-1304-4301-B641-A802301CD6BE}" xr6:coauthVersionLast="47" xr6:coauthVersionMax="47" xr10:uidLastSave="{00000000-0000-0000-0000-000000000000}"/>
  <bookViews>
    <workbookView xWindow="-28920" yWindow="1935" windowWidth="29040" windowHeight="15720" activeTab="6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J50" i="6" s="1"/>
  <c r="D50" i="6"/>
  <c r="K49" i="6"/>
  <c r="I49" i="6"/>
  <c r="H49" i="6"/>
  <c r="J49" i="6" s="1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J45" i="6" s="1"/>
  <c r="E45" i="6"/>
  <c r="D45" i="6"/>
  <c r="K44" i="6"/>
  <c r="I44" i="6"/>
  <c r="H44" i="6"/>
  <c r="J44" i="6" s="1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J38" i="6" s="1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J32" i="6" s="1"/>
  <c r="D32" i="6"/>
  <c r="K31" i="6"/>
  <c r="I31" i="6"/>
  <c r="H31" i="6"/>
  <c r="J31" i="6" s="1"/>
  <c r="D31" i="6"/>
  <c r="K30" i="6"/>
  <c r="I30" i="6"/>
  <c r="H30" i="6"/>
  <c r="D30" i="6"/>
  <c r="K29" i="6"/>
  <c r="I29" i="6"/>
  <c r="H29" i="6"/>
  <c r="D29" i="6"/>
  <c r="K28" i="6"/>
  <c r="I28" i="6"/>
  <c r="H28" i="6"/>
  <c r="E28" i="6"/>
  <c r="D28" i="6"/>
  <c r="K27" i="6"/>
  <c r="I27" i="6"/>
  <c r="H27" i="6"/>
  <c r="D27" i="6"/>
  <c r="K26" i="6"/>
  <c r="I26" i="6"/>
  <c r="H26" i="6"/>
  <c r="D26" i="6"/>
  <c r="K25" i="6"/>
  <c r="I25" i="6"/>
  <c r="H25" i="6"/>
  <c r="F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J20" i="6" s="1"/>
  <c r="D20" i="6"/>
  <c r="K19" i="6"/>
  <c r="I19" i="6"/>
  <c r="H19" i="6"/>
  <c r="J19" i="6" s="1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J13" i="6" s="1"/>
  <c r="E13" i="6"/>
  <c r="D13" i="6"/>
  <c r="K12" i="6"/>
  <c r="I12" i="6"/>
  <c r="H12" i="6"/>
  <c r="J12" i="6" s="1"/>
  <c r="G12" i="6"/>
  <c r="E12" i="6"/>
  <c r="D12" i="6"/>
  <c r="K11" i="6"/>
  <c r="I11" i="6"/>
  <c r="H11" i="6"/>
  <c r="J11" i="6" s="1"/>
  <c r="G11" i="6"/>
  <c r="F11" i="6"/>
  <c r="E11" i="6"/>
  <c r="D11" i="6"/>
  <c r="K10" i="6"/>
  <c r="I10" i="6"/>
  <c r="H10" i="6"/>
  <c r="J10" i="6" s="1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G28" i="6" s="1"/>
  <c r="I62" i="5"/>
  <c r="H62" i="5"/>
  <c r="K61" i="5"/>
  <c r="J61" i="5"/>
  <c r="I61" i="5"/>
  <c r="H61" i="5"/>
  <c r="K60" i="5"/>
  <c r="J60" i="5"/>
  <c r="I60" i="5"/>
  <c r="H60" i="5"/>
  <c r="K59" i="5"/>
  <c r="E23" i="6" s="1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S271" i="8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S252" i="8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R196" i="8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S179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S169" i="8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S154" i="8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S147" i="8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R134" i="8"/>
  <c r="P134" i="8"/>
  <c r="S134" i="8" s="1"/>
  <c r="P133" i="8"/>
  <c r="P132" i="8"/>
  <c r="S132" i="8" s="1"/>
  <c r="P131" i="8"/>
  <c r="Q131" i="8" s="1"/>
  <c r="S130" i="8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R114" i="8"/>
  <c r="Q114" i="8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S107" i="8"/>
  <c r="Q107" i="8"/>
  <c r="P107" i="8"/>
  <c r="R107" i="8" s="1"/>
  <c r="P106" i="8"/>
  <c r="S106" i="8" s="1"/>
  <c r="W105" i="8"/>
  <c r="V105" i="8"/>
  <c r="U105" i="8"/>
  <c r="T105" i="8"/>
  <c r="P105" i="8"/>
  <c r="S105" i="8" s="1"/>
  <c r="V104" i="8"/>
  <c r="U104" i="8"/>
  <c r="T104" i="8"/>
  <c r="W104" i="8" s="1"/>
  <c r="P104" i="8"/>
  <c r="S104" i="8" s="1"/>
  <c r="U103" i="8"/>
  <c r="V103" i="8" s="1"/>
  <c r="T103" i="8"/>
  <c r="W103" i="8" s="1"/>
  <c r="P103" i="8"/>
  <c r="R103" i="8" s="1"/>
  <c r="W102" i="8"/>
  <c r="U102" i="8"/>
  <c r="V102" i="8" s="1"/>
  <c r="T102" i="8"/>
  <c r="P102" i="8"/>
  <c r="U101" i="8"/>
  <c r="V101" i="8" s="1"/>
  <c r="T101" i="8"/>
  <c r="W101" i="8" s="1"/>
  <c r="P101" i="8"/>
  <c r="R101" i="8" s="1"/>
  <c r="W100" i="8"/>
  <c r="U100" i="8"/>
  <c r="V100" i="8" s="1"/>
  <c r="T100" i="8"/>
  <c r="S100" i="8"/>
  <c r="P100" i="8"/>
  <c r="R100" i="8" s="1"/>
  <c r="V99" i="8"/>
  <c r="U99" i="8"/>
  <c r="T99" i="8"/>
  <c r="W99" i="8" s="1"/>
  <c r="P99" i="8"/>
  <c r="S99" i="8" s="1"/>
  <c r="W98" i="8"/>
  <c r="V98" i="8"/>
  <c r="U98" i="8"/>
  <c r="T98" i="8"/>
  <c r="P98" i="8"/>
  <c r="S98" i="8" s="1"/>
  <c r="W97" i="8"/>
  <c r="U97" i="8"/>
  <c r="V97" i="8" s="1"/>
  <c r="T97" i="8"/>
  <c r="P97" i="8"/>
  <c r="Q97" i="8" s="1"/>
  <c r="V96" i="8"/>
  <c r="U96" i="8"/>
  <c r="T96" i="8"/>
  <c r="W96" i="8" s="1"/>
  <c r="P96" i="8"/>
  <c r="S96" i="8" s="1"/>
  <c r="V95" i="8"/>
  <c r="U95" i="8"/>
  <c r="T95" i="8"/>
  <c r="W95" i="8" s="1"/>
  <c r="P95" i="8"/>
  <c r="R95" i="8" s="1"/>
  <c r="W94" i="8"/>
  <c r="V94" i="8"/>
  <c r="U94" i="8"/>
  <c r="T94" i="8"/>
  <c r="P94" i="8"/>
  <c r="R94" i="8" s="1"/>
  <c r="V93" i="8"/>
  <c r="U93" i="8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V87" i="8"/>
  <c r="U87" i="8"/>
  <c r="T87" i="8"/>
  <c r="P87" i="8"/>
  <c r="Q87" i="8" s="1"/>
  <c r="U86" i="8"/>
  <c r="V86" i="8" s="1"/>
  <c r="T86" i="8"/>
  <c r="W86" i="8" s="1"/>
  <c r="P86" i="8"/>
  <c r="S86" i="8" s="1"/>
  <c r="V85" i="8"/>
  <c r="U85" i="8"/>
  <c r="T85" i="8"/>
  <c r="W85" i="8" s="1"/>
  <c r="R85" i="8"/>
  <c r="Q85" i="8"/>
  <c r="P85" i="8"/>
  <c r="S85" i="8" s="1"/>
  <c r="V84" i="8"/>
  <c r="U84" i="8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V79" i="8"/>
  <c r="U79" i="8"/>
  <c r="T79" i="8"/>
  <c r="W79" i="8" s="1"/>
  <c r="P79" i="8"/>
  <c r="V78" i="8"/>
  <c r="U78" i="8"/>
  <c r="T78" i="8"/>
  <c r="W78" i="8" s="1"/>
  <c r="P78" i="8"/>
  <c r="Q78" i="8" s="1"/>
  <c r="W77" i="8"/>
  <c r="U77" i="8"/>
  <c r="V77" i="8" s="1"/>
  <c r="T77" i="8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W73" i="8"/>
  <c r="V73" i="8"/>
  <c r="U73" i="8"/>
  <c r="T73" i="8"/>
  <c r="P73" i="8"/>
  <c r="W72" i="8"/>
  <c r="U72" i="8"/>
  <c r="V72" i="8" s="1"/>
  <c r="T72" i="8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V69" i="8"/>
  <c r="U69" i="8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V65" i="8"/>
  <c r="U65" i="8"/>
  <c r="T65" i="8"/>
  <c r="P65" i="8"/>
  <c r="R65" i="8" s="1"/>
  <c r="W64" i="8"/>
  <c r="V64" i="8"/>
  <c r="U64" i="8"/>
  <c r="T64" i="8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W59" i="8"/>
  <c r="V59" i="8"/>
  <c r="U59" i="8"/>
  <c r="T59" i="8"/>
  <c r="P59" i="8"/>
  <c r="U58" i="8"/>
  <c r="V58" i="8" s="1"/>
  <c r="T58" i="8"/>
  <c r="W58" i="8" s="1"/>
  <c r="P58" i="8"/>
  <c r="S58" i="8" s="1"/>
  <c r="W57" i="8"/>
  <c r="U57" i="8"/>
  <c r="V57" i="8" s="1"/>
  <c r="T57" i="8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V54" i="8"/>
  <c r="U54" i="8"/>
  <c r="T54" i="8"/>
  <c r="R54" i="8"/>
  <c r="Q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V50" i="8"/>
  <c r="U50" i="8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S43" i="8" s="1"/>
  <c r="U42" i="8"/>
  <c r="V42" i="8" s="1"/>
  <c r="T42" i="8"/>
  <c r="P42" i="8"/>
  <c r="S42" i="8" s="1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S34" i="8" s="1"/>
  <c r="U33" i="8"/>
  <c r="V33" i="8" s="1"/>
  <c r="T33" i="8"/>
  <c r="P33" i="8"/>
  <c r="S33" i="8" s="1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S30" i="8" s="1"/>
  <c r="U29" i="8"/>
  <c r="V29" i="8" s="1"/>
  <c r="T29" i="8"/>
  <c r="P29" i="8"/>
  <c r="Q29" i="8" s="1"/>
  <c r="U28" i="8"/>
  <c r="V28" i="8" s="1"/>
  <c r="T28" i="8"/>
  <c r="P28" i="8"/>
  <c r="S28" i="8" s="1"/>
  <c r="U27" i="8"/>
  <c r="V27" i="8" s="1"/>
  <c r="T27" i="8"/>
  <c r="P27" i="8"/>
  <c r="S27" i="8" s="1"/>
  <c r="U26" i="8"/>
  <c r="V26" i="8" s="1"/>
  <c r="T26" i="8"/>
  <c r="P26" i="8"/>
  <c r="R26" i="8" s="1"/>
  <c r="U25" i="8"/>
  <c r="V25" i="8" s="1"/>
  <c r="T25" i="8"/>
  <c r="S25" i="8"/>
  <c r="R25" i="8"/>
  <c r="Q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S18" i="8" s="1"/>
  <c r="U17" i="8"/>
  <c r="V17" i="8" s="1"/>
  <c r="T17" i="8"/>
  <c r="P17" i="8"/>
  <c r="S17" i="8" s="1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Q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S9" i="8" s="1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S50" i="8" l="1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S20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S37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S12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S13" i="8"/>
  <c r="R259" i="8"/>
  <c r="R9" i="8"/>
  <c r="Q101" i="8"/>
  <c r="R205" i="8"/>
  <c r="S250" i="8"/>
  <c r="S35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S22" i="8"/>
  <c r="S26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S15" i="8"/>
  <c r="Q209" i="8"/>
  <c r="Q28" i="8"/>
  <c r="Q33" i="8"/>
  <c r="R41" i="8"/>
  <c r="R28" i="8"/>
  <c r="R33" i="8"/>
  <c r="Q37" i="8"/>
  <c r="S41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S23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S31" i="8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S38" i="8"/>
  <c r="R38" i="8"/>
  <c r="Q38" i="8"/>
  <c r="Q116" i="8"/>
  <c r="S161" i="8"/>
  <c r="R161" i="8"/>
  <c r="Q161" i="8"/>
  <c r="S211" i="8"/>
  <c r="S269" i="8"/>
  <c r="S277" i="8"/>
  <c r="S293" i="8"/>
  <c r="S10" i="8"/>
  <c r="S14" i="8"/>
  <c r="S19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" i="8"/>
  <c r="S295" i="8"/>
  <c r="R295" i="8"/>
  <c r="Q295" i="8"/>
  <c r="S21" i="8"/>
  <c r="R21" i="8"/>
  <c r="S8" i="8" s="1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S32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S11" i="8"/>
  <c r="S16" i="8"/>
  <c r="S24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S36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S40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7" i="8" l="1"/>
  <c r="S6" i="8"/>
  <c r="I31" i="8" s="1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G34" i="8"/>
  <c r="I20" i="8"/>
  <c r="G20" i="8"/>
  <c r="I8" i="8"/>
  <c r="I35" i="8"/>
  <c r="H32" i="8"/>
  <c r="G29" i="8"/>
  <c r="G26" i="8"/>
  <c r="H23" i="8"/>
  <c r="H35" i="8"/>
  <c r="H28" i="8"/>
  <c r="I22" i="8"/>
  <c r="I34" i="8"/>
  <c r="G28" i="8"/>
  <c r="H22" i="8"/>
  <c r="G9" i="8"/>
  <c r="I15" i="8"/>
  <c r="G13" i="8"/>
  <c r="I18" i="8"/>
  <c r="G22" i="8"/>
  <c r="H18" i="8"/>
  <c r="I9" i="8"/>
  <c r="G18" i="8"/>
  <c r="I16" i="8"/>
  <c r="H9" i="8"/>
  <c r="H16" i="8"/>
  <c r="G7" i="8"/>
  <c r="G16" i="8"/>
  <c r="G17" i="8"/>
  <c r="G25" i="8"/>
  <c r="G27" i="8"/>
  <c r="H21" i="8"/>
  <c r="H14" i="8"/>
  <c r="H12" i="8"/>
  <c r="I33" i="8"/>
  <c r="G35" i="8"/>
  <c r="H10" i="8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33" i="8" l="1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<sst xmlns="http://schemas.openxmlformats.org/spreadsheetml/2006/main" count="1010" uniqueCount="366">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</sst>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3" workbookViewId="0">
      <selection activeCell="G23" sqref="G23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F10" sqref="F10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workbookViewId="0">
      <selection activeCell="G9" sqref="G9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/>
      <c r="F6" s="19"/>
      <c r="G6" s="20" t="s">
        <v>84</v>
      </c>
      <c r="H6" s="19" t="str">
        <f t="shared" si="0"/>
        <v/>
      </c>
      <c r="I6" s="19" t="str">
        <f t="shared" si="1"/>
        <v/>
      </c>
      <c r="J6" s="19" t="str">
        <f t="shared" si="2"/>
        <v/>
      </c>
      <c r="K6" s="19" t="str">
        <f t="shared" si="3"/>
        <v/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/>
      <c r="F7" s="21"/>
      <c r="G7" s="22" t="s">
        <v>87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/>
      <c r="F8" s="23"/>
      <c r="G8" s="24" t="s">
        <v>97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/>
      <c r="F9" s="25"/>
      <c r="G9" s="26" t="s">
        <v>94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/>
      <c r="F10" s="23"/>
      <c r="G10" s="24" t="s">
        <v>99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/>
      <c r="F11" s="25"/>
      <c r="G11" s="26" t="s">
        <v>92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/>
      <c r="F12" s="21"/>
      <c r="G12" s="22" t="s">
        <v>89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/>
      <c r="F13" s="27"/>
      <c r="G13" s="28" t="s">
        <v>104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/>
      <c r="F14" s="27"/>
      <c r="G14" s="28" t="s">
        <v>102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/>
      <c r="F15" s="29"/>
      <c r="G15" s="30" t="s">
        <v>107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/>
      <c r="F16" s="29"/>
      <c r="G16" s="30" t="s">
        <v>109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/>
      <c r="F18" s="31"/>
      <c r="G18" s="32" t="s">
        <v>117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/>
      <c r="F20" s="33"/>
      <c r="G20" s="34" t="s">
        <v>112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0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0</v>
      </c>
      <c r="I7" s="19">
        <f>SUMPRODUCT((Fixtures!D$5:D$76=B7)*(Fixtures!F$5:F$76&lt;&gt;"")*Fixtures!F$5:F$76)+SUMPRODUCT((Fixtures!G$5:G$76=B7)*(Fixtures!E$5:E$76&lt;&gt;"")*Fixtures!E$5:E$76)</f>
        <v>0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0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0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0</v>
      </c>
      <c r="I8" s="19">
        <f>SUMPRODUCT((Fixtures!D$5:D$76=B8)*(Fixtures!F$5:F$76&lt;&gt;"")*Fixtures!F$5:F$76)+SUMPRODUCT((Fixtures!G$5:G$76=B8)*(Fixtures!E$5:E$76&lt;&gt;"")*Fixtures!E$5:E$76)</f>
        <v>0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tabSelected="1"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Connor Scicluna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2</v>
      </c>
    </row>
    <row r="6" spans="1:14" x14ac:dyDescent="0.25">
      <c r="A6" s="48">
        <v>2</v>
      </c>
      <c r="B6" s="49" t="str">
        <f>IFERROR(INDEX($H$5:$H$104,MATCH(2,$N$5:$N$104,0)),"")</f>
        <v>Elizabeth Delfs</v>
      </c>
      <c r="C6" s="49" t="str">
        <f>IFERROR(INDEX($I$5:$I$104,MATCH(2,$N$5:$N$104,0)),"")</f>
        <v>Scotland</v>
      </c>
      <c r="D6" s="48">
        <f>IFERROR(INDEX($J$5:$J$104,MATCH(2,$N$5:$N$104,0)),"")</f>
        <v>0</v>
      </c>
      <c r="E6" s="48">
        <f>IFERROR(INDEX($K$5:$K$104,MATCH(2,$N$5:$N$104,0)),"")</f>
        <v>0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3</v>
      </c>
    </row>
    <row r="7" spans="1:14" x14ac:dyDescent="0.25">
      <c r="A7" s="50">
        <v>3</v>
      </c>
      <c r="B7" s="51" t="str">
        <f>IFERROR(INDEX($H$5:$H$104,MATCH(3,$N$5:$N$104,0)),"")</f>
        <v>Angelique Bilyk</v>
      </c>
      <c r="C7" s="51" t="str">
        <f>IFERROR(INDEX($I$5:$I$104,MATCH(3,$N$5:$N$104,0)),"")</f>
        <v>Germany</v>
      </c>
      <c r="D7" s="50">
        <f>IFERROR(INDEX($J$5:$J$104,MATCH(3,$N$5:$N$104,0)),"")</f>
        <v>0</v>
      </c>
      <c r="E7" s="50">
        <f>IFERROR(INDEX($K$5:$K$104,MATCH(3,$N$5:$N$104,0)),"")</f>
        <v>0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4</v>
      </c>
    </row>
    <row r="8" spans="1:14" x14ac:dyDescent="0.25">
      <c r="A8" s="43">
        <v>4</v>
      </c>
      <c r="B8" s="44" t="str">
        <f>IFERROR(INDEX($H$5:$H$104,MATCH(4,$N$5:$N$104,0)),"")</f>
        <v>Tanya Olive</v>
      </c>
      <c r="C8" s="44" t="str">
        <f>IFERROR(INDEX($I$5:$I$104,MATCH(4,$N$5:$N$104,0)),"")</f>
        <v>England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5</v>
      </c>
    </row>
    <row r="9" spans="1:14" x14ac:dyDescent="0.25">
      <c r="A9" s="43">
        <v>5</v>
      </c>
      <c r="B9" s="44" t="str">
        <f>IFERROR(INDEX($H$5:$H$104,MATCH(5,$N$5:$N$104,0)),"")</f>
        <v>Mitchell Wild</v>
      </c>
      <c r="C9" s="44" t="str">
        <f>IFERROR(INDEX($I$5:$I$104,MATCH(5,$N$5:$N$104,0)),"")</f>
        <v>Czechia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6</v>
      </c>
    </row>
    <row r="10" spans="1:14" x14ac:dyDescent="0.25">
      <c r="A10" s="43">
        <v>6</v>
      </c>
      <c r="B10" s="44" t="str">
        <f>IFERROR(INDEX($H$5:$H$104,MATCH(6,$N$5:$N$104,0)),"")</f>
        <v>Andrew Sinnott</v>
      </c>
      <c r="C10" s="44" t="str">
        <f>IFERROR(INDEX($I$5:$I$104,MATCH(6,$N$5:$N$104,0)),"")</f>
        <v>Switzerland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7</v>
      </c>
    </row>
    <row r="11" spans="1:14" x14ac:dyDescent="0.25">
      <c r="A11" s="43">
        <v>7</v>
      </c>
      <c r="B11" s="44" t="str">
        <f>IFERROR(INDEX($H$5:$H$104,MATCH(7,$N$5:$N$104,0)),"")</f>
        <v>Mark Keppie</v>
      </c>
      <c r="C11" s="44" t="str">
        <f>IFERROR(INDEX($I$5:$I$104,MATCH(7,$N$5:$N$104,0)),"")</f>
        <v>Panama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8</v>
      </c>
    </row>
    <row r="12" spans="1:14" x14ac:dyDescent="0.25">
      <c r="A12" s="43">
        <v>8</v>
      </c>
      <c r="B12" s="44" t="str">
        <f>IFERROR(INDEX($H$5:$H$104,MATCH(8,$N$5:$N$104,0)),"")</f>
        <v>Sarah Knowles</v>
      </c>
      <c r="C12" s="44" t="str">
        <f>IFERROR(INDEX($I$5:$I$104,MATCH(8,$N$5:$N$104,0)),"")</f>
        <v>Ecuador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9</v>
      </c>
    </row>
    <row r="13" spans="1:14" x14ac:dyDescent="0.25">
      <c r="A13" s="43">
        <v>9</v>
      </c>
      <c r="B13" s="44" t="str">
        <f>IFERROR(INDEX($H$5:$H$104,MATCH(9,$N$5:$N$104,0)),"")</f>
        <v>Kate Ingrey</v>
      </c>
      <c r="C13" s="44" t="str">
        <f>IFERROR(INDEX($I$5:$I$104,MATCH(9,$N$5:$N$104,0)),"")</f>
        <v>Ivory Coast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10</v>
      </c>
    </row>
    <row r="14" spans="1:14" x14ac:dyDescent="0.25">
      <c r="A14" s="43">
        <v>10</v>
      </c>
      <c r="B14" s="44" t="str">
        <f>IFERROR(INDEX($H$5:$H$104,MATCH(10,$N$5:$N$104,0)),"")</f>
        <v>Mitchell Thompson</v>
      </c>
      <c r="C14" s="44" t="str">
        <f>IFERROR(INDEX($I$5:$I$104,MATCH(10,$N$5:$N$104,0)),"")</f>
        <v>Portugal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11</v>
      </c>
    </row>
    <row r="15" spans="1:14" x14ac:dyDescent="0.25">
      <c r="A15" s="43">
        <v>11</v>
      </c>
      <c r="B15" s="44" t="str">
        <f>IFERROR(INDEX($H$5:$H$104,MATCH(11,$N$5:$N$104,0)),"")</f>
        <v>Krystal Gerrie</v>
      </c>
      <c r="C15" s="44" t="str">
        <f>IFERROR(INDEX($I$5:$I$104,MATCH(11,$N$5:$N$104,0)),"")</f>
        <v>Morocco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12</v>
      </c>
    </row>
    <row r="16" spans="1:14" x14ac:dyDescent="0.25">
      <c r="A16" s="43">
        <v>12</v>
      </c>
      <c r="B16" s="44" t="str">
        <f>IFERROR(INDEX($H$5:$H$104,MATCH(12,$N$5:$N$104,0)),"")</f>
        <v>Dionne Hunter</v>
      </c>
      <c r="C16" s="44" t="str">
        <f>IFERROR(INDEX($I$5:$I$104,MATCH(12,$N$5:$N$104,0)),"")</f>
        <v>Uzbekistan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13</v>
      </c>
    </row>
    <row r="17" spans="1:14" x14ac:dyDescent="0.25">
      <c r="A17" s="43">
        <v>13</v>
      </c>
      <c r="B17" s="44" t="str">
        <f>IFERROR(INDEX($H$5:$H$104,MATCH(13,$N$5:$N$104,0)),"")</f>
        <v>Matthew Johnson</v>
      </c>
      <c r="C17" s="44" t="str">
        <f>IFERROR(INDEX($I$5:$I$104,MATCH(13,$N$5:$N$104,0)),"")</f>
        <v>Qatar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14</v>
      </c>
    </row>
    <row r="18" spans="1:14" x14ac:dyDescent="0.25">
      <c r="A18" s="43">
        <v>14</v>
      </c>
      <c r="B18" s="44" t="str">
        <f>IFERROR(INDEX($H$5:$H$104,MATCH(14,$N$5:$N$104,0)),"")</f>
        <v>Michael Curran</v>
      </c>
      <c r="C18" s="44" t="str">
        <f>IFERROR(INDEX($I$5:$I$104,MATCH(14,$N$5:$N$104,0)),"")</f>
        <v>France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15</v>
      </c>
    </row>
    <row r="19" spans="1:14" x14ac:dyDescent="0.25">
      <c r="A19" s="43">
        <v>15</v>
      </c>
      <c r="B19" s="44" t="str">
        <f>IFERROR(INDEX($H$5:$H$104,MATCH(15,$N$5:$N$104,0)),"")</f>
        <v>Cyndie Bowen</v>
      </c>
      <c r="C19" s="44" t="str">
        <f>IFERROR(INDEX($I$5:$I$104,MATCH(15,$N$5:$N$104,0)),"")</f>
        <v>Tunisia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16</v>
      </c>
    </row>
    <row r="20" spans="1:14" x14ac:dyDescent="0.25">
      <c r="A20" s="43">
        <v>16</v>
      </c>
      <c r="B20" s="44" t="str">
        <f>IFERROR(INDEX($H$5:$H$104,MATCH(16,$N$5:$N$104,0)),"")</f>
        <v>Helen Pennock</v>
      </c>
      <c r="C20" s="44" t="str">
        <f>IFERROR(INDEX($I$5:$I$104,MATCH(16,$N$5:$N$104,0)),"")</f>
        <v>Algeria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17</v>
      </c>
    </row>
    <row r="21" spans="1:14" x14ac:dyDescent="0.25">
      <c r="A21" s="43">
        <v>17</v>
      </c>
      <c r="B21" s="44" t="str">
        <f>IFERROR(INDEX($H$5:$H$104,MATCH(17,$N$5:$N$104,0)),"")</f>
        <v>Brad McLaren</v>
      </c>
      <c r="C21" s="44" t="str">
        <f>IFERROR(INDEX($I$5:$I$104,MATCH(17,$N$5:$N$104,0)),"")</f>
        <v>Colombia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18</v>
      </c>
    </row>
    <row r="22" spans="1:14" x14ac:dyDescent="0.25">
      <c r="A22" s="43">
        <v>18</v>
      </c>
      <c r="B22" s="44" t="str">
        <f>IFERROR(INDEX($H$5:$H$104,MATCH(18,$N$5:$N$104,0)),"")</f>
        <v>Cheari Lee</v>
      </c>
      <c r="C22" s="44" t="str">
        <f>IFERROR(INDEX($I$5:$I$104,MATCH(18,$N$5:$N$104,0)),"")</f>
        <v>Sweden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19</v>
      </c>
    </row>
    <row r="23" spans="1:14" x14ac:dyDescent="0.25">
      <c r="A23" s="43">
        <v>19</v>
      </c>
      <c r="B23" s="44" t="str">
        <f>IFERROR(INDEX($H$5:$H$104,MATCH(19,$N$5:$N$104,0)),"")</f>
        <v>Hugh Kuiper</v>
      </c>
      <c r="C23" s="44" t="str">
        <f>IFERROR(INDEX($I$5:$I$104,MATCH(19,$N$5:$N$104,0)),"")</f>
        <v>Uruguay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20</v>
      </c>
    </row>
    <row r="24" spans="1:14" x14ac:dyDescent="0.25">
      <c r="A24" s="43">
        <v>20</v>
      </c>
      <c r="B24" s="44" t="str">
        <f>IFERROR(INDEX($H$5:$H$104,MATCH(20,$N$5:$N$104,0)),"")</f>
        <v>Theo Panagopoulos</v>
      </c>
      <c r="C24" s="44" t="str">
        <f>IFERROR(INDEX($I$5:$I$104,MATCH(20,$N$5:$N$104,0)),"")</f>
        <v>Austria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Owen Saliba</v>
      </c>
      <c r="C25" s="44" t="str">
        <f>IFERROR(INDEX($I$5:$I$104,MATCH(21,$N$5:$N$104,0)),"")</f>
        <v>Egypt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21</v>
      </c>
    </row>
    <row r="26" spans="1:14" x14ac:dyDescent="0.25">
      <c r="A26" s="43">
        <v>22</v>
      </c>
      <c r="B26" s="44" t="str">
        <f>IFERROR(INDEX($H$5:$H$104,MATCH(22,$N$5:$N$104,0)),"")</f>
        <v>Kate Higgs</v>
      </c>
      <c r="C26" s="44" t="str">
        <f>IFERROR(INDEX($I$5:$I$104,MATCH(22,$N$5:$N$104,0)),"")</f>
        <v>Canada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22</v>
      </c>
    </row>
    <row r="27" spans="1:14" x14ac:dyDescent="0.25">
      <c r="A27" s="43">
        <v>23</v>
      </c>
      <c r="B27" s="44" t="str">
        <f>IFERROR(INDEX($H$5:$H$104,MATCH(23,$N$5:$N$104,0)),"")</f>
        <v>Jackson Whiteside</v>
      </c>
      <c r="C27" s="44" t="str">
        <f>IFERROR(INDEX($I$5:$I$104,MATCH(23,$N$5:$N$104,0)),"")</f>
        <v>Japan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23</v>
      </c>
    </row>
    <row r="28" spans="1:14" x14ac:dyDescent="0.25">
      <c r="A28" s="43">
        <v>24</v>
      </c>
      <c r="B28" s="44" t="str">
        <f>IFERROR(INDEX($H$5:$H$104,MATCH(24,$N$5:$N$104,0)),"")</f>
        <v>Lorraine Medina</v>
      </c>
      <c r="C28" s="44" t="str">
        <f>IFERROR(INDEX($I$5:$I$104,MATCH(24,$N$5:$N$104,0)),"")</f>
        <v>Belgium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24</v>
      </c>
    </row>
    <row r="29" spans="1:14" x14ac:dyDescent="0.25">
      <c r="A29" s="43">
        <v>25</v>
      </c>
      <c r="B29" s="44" t="str">
        <f>IFERROR(INDEX($H$5:$H$104,MATCH(25,$N$5:$N$104,0)),"")</f>
        <v>Gerard Corboz</v>
      </c>
      <c r="C29" s="44" t="str">
        <f>IFERROR(INDEX($I$5:$I$104,MATCH(25,$N$5:$N$104,0)),"")</f>
        <v>Spain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25</v>
      </c>
    </row>
    <row r="30" spans="1:14" x14ac:dyDescent="0.25">
      <c r="A30" s="43">
        <v>26</v>
      </c>
      <c r="B30" s="44" t="str">
        <f>IFERROR(INDEX($H$5:$H$104,MATCH(26,$N$5:$N$104,0)),"")</f>
        <v>Prasantha Nandulamatam</v>
      </c>
      <c r="C30" s="44" t="str">
        <f>IFERROR(INDEX($I$5:$I$104,MATCH(26,$N$5:$N$104,0)),"")</f>
        <v>Australia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26</v>
      </c>
    </row>
    <row r="31" spans="1:14" x14ac:dyDescent="0.25">
      <c r="A31" s="43">
        <v>27</v>
      </c>
      <c r="B31" s="44" t="str">
        <f>IFERROR(INDEX($H$5:$H$104,MATCH(27,$N$5:$N$104,0)),"")</f>
        <v>Beau Prendergast</v>
      </c>
      <c r="C31" s="44" t="str">
        <f>IFERROR(INDEX($I$5:$I$104,MATCH(27,$N$5:$N$104,0)),"")</f>
        <v>Brazil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27</v>
      </c>
    </row>
    <row r="32" spans="1:14" x14ac:dyDescent="0.25">
      <c r="A32" s="43">
        <v>28</v>
      </c>
      <c r="B32" s="44" t="str">
        <f>IFERROR(INDEX($H$5:$H$104,MATCH(28,$N$5:$N$104,0)),"")</f>
        <v>Tamara Evans</v>
      </c>
      <c r="C32" s="44" t="str">
        <f>IFERROR(INDEX($I$5:$I$104,MATCH(28,$N$5:$N$104,0)),"")</f>
        <v>Norway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28</v>
      </c>
    </row>
    <row r="33" spans="1:14" x14ac:dyDescent="0.25">
      <c r="A33" s="43">
        <v>29</v>
      </c>
      <c r="B33" s="44" t="str">
        <f>IFERROR(INDEX($H$5:$H$104,MATCH(29,$N$5:$N$104,0)),"")</f>
        <v>Shane Shookry</v>
      </c>
      <c r="C33" s="44" t="str">
        <f>IFERROR(INDEX($I$5:$I$104,MATCH(29,$N$5:$N$104,0)),"")</f>
        <v>South Africa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29</v>
      </c>
    </row>
    <row r="34" spans="1:14" x14ac:dyDescent="0.25">
      <c r="A34" s="43">
        <v>30</v>
      </c>
      <c r="B34" s="44" t="str">
        <f>IFERROR(INDEX($H$5:$H$104,MATCH(30,$N$5:$N$104,0)),"")</f>
        <v>Jigar Vashi</v>
      </c>
      <c r="C34" s="44" t="str">
        <f>IFERROR(INDEX($I$5:$I$104,MATCH(30,$N$5:$N$104,0)),"")</f>
        <v>Senegal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30</v>
      </c>
    </row>
    <row r="35" spans="1:14" x14ac:dyDescent="0.25">
      <c r="A35" s="43">
        <v>31</v>
      </c>
      <c r="B35" s="44" t="str">
        <f>IFERROR(INDEX($H$5:$H$104,MATCH(31,$N$5:$N$104,0)),"")</f>
        <v>Theresa McDonough</v>
      </c>
      <c r="C35" s="44" t="str">
        <f>IFERROR(INDEX($I$5:$I$104,MATCH(31,$N$5:$N$104,0)),"")</f>
        <v>Iraq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31</v>
      </c>
    </row>
    <row r="36" spans="1:14" x14ac:dyDescent="0.25">
      <c r="A36" s="43">
        <v>32</v>
      </c>
      <c r="B36" s="44" t="str">
        <f>IFERROR(INDEX($H$5:$H$104,MATCH(32,$N$5:$N$104,0)),"")</f>
        <v>Joel Geysen</v>
      </c>
      <c r="C36" s="44" t="str">
        <f>IFERROR(INDEX($I$5:$I$104,MATCH(32,$N$5:$N$104,0)),"")</f>
        <v>Croatia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32</v>
      </c>
    </row>
    <row r="37" spans="1:14" x14ac:dyDescent="0.25">
      <c r="A37" s="43">
        <v>33</v>
      </c>
      <c r="B37" s="44" t="str">
        <f>IFERROR(INDEX($H$5:$H$104,MATCH(33,$N$5:$N$104,0)),"")</f>
        <v>Michael van Eldik</v>
      </c>
      <c r="C37" s="44" t="str">
        <f>IFERROR(INDEX($I$5:$I$104,MATCH(33,$N$5:$N$104,0)),"")</f>
        <v>Argentina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Rodney Teggins</v>
      </c>
      <c r="C38" s="44" t="str">
        <f>IFERROR(INDEX($I$5:$I$104,MATCH(34,$N$5:$N$104,0)),"")</f>
        <v>Türkiye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Joel Reid</v>
      </c>
      <c r="C39" s="44" t="str">
        <f>IFERROR(INDEX($I$5:$I$104,MATCH(35,$N$5:$N$104,0)),"")</f>
        <v>Netherlands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Reg Poonan</v>
      </c>
      <c r="C40" s="44" t="str">
        <f>IFERROR(INDEX($I$5:$I$104,MATCH(36,$N$5:$N$104,0)),"")</f>
        <v>Paraguay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Andrew Kagis</v>
      </c>
      <c r="C41" s="44" t="str">
        <f>IFERROR(INDEX($I$5:$I$104,MATCH(37,$N$5:$N$104,0)),"")</f>
        <v>Iran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Suhail Janardhanan</v>
      </c>
      <c r="C42" s="44" t="str">
        <f>IFERROR(INDEX($I$5:$I$104,MATCH(38,$N$5:$N$104,0)),"")</f>
        <v>DR Congo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Sean Farley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Kamini Gounder</v>
      </c>
      <c r="C44" s="44" t="str">
        <f>IFERROR(INDEX($I$5:$I$104,MATCH(40,$N$5:$N$104,0)),"")</f>
        <v>South Korea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Phantom 1</v>
      </c>
      <c r="C45" s="44" t="str">
        <f>IFERROR(INDEX($I$5:$I$104,MATCH(41,$N$5:$N$104,0)),"")</f>
        <v>Saudi Arabia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Phantom 2</v>
      </c>
      <c r="C46" s="44" t="str">
        <f>IFERROR(INDEX($I$5:$I$104,MATCH(42,$N$5:$N$104,0)),"")</f>
        <v>Jordan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Phantom 3</v>
      </c>
      <c r="C47" s="44" t="str">
        <f>IFERROR(INDEX($I$5:$I$104,MATCH(43,$N$5:$N$104,0)),"")</f>
        <v>Bosnia and Herzegovina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Phantom 4</v>
      </c>
      <c r="C48" s="44" t="str">
        <f>IFERROR(INDEX($I$5:$I$104,MATCH(44,$N$5:$N$104,0)),"")</f>
        <v>Cape Verde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workbookViewId="0">
      <selection activeCell="D11" sqref="D11"/>
    </sheetView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Julián Quiñones</v>
      </c>
      <c r="H6" s="47" t="str">
        <f>IFERROR(INDEX($Q$6:$Q$305,MATCH(1,$S$6:$S$305,0)),"")</f>
        <v>Mexico</v>
      </c>
      <c r="I6" s="46">
        <f>IFERROR(INDEX($R$6:$R$305,MATCH(1,$S$6:$S$305,0)),"")</f>
        <v>1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1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Raúl Jiménez</v>
      </c>
      <c r="H7" s="49" t="str">
        <f>IFERROR(INDEX($Q$6:$Q$305,MATCH(2,$S$6:$S$305,0)),"")</f>
        <v>Mexico</v>
      </c>
      <c r="I7" s="48">
        <f>IFERROR(INDEX($R$6:$R$305,MATCH(2,$S$6:$S$305,0)),"")</f>
        <v>1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2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/>
      <c r="B8" s="56"/>
      <c r="C8" s="56"/>
      <c r="D8" s="43"/>
      <c r="F8" s="50">
        <v>3</v>
      </c>
      <c r="G8" s="51" t="str">
        <f>IFERROR(INDEX($P$6:$P$305,MATCH(3,$S$6:$S$305,0)),"")</f>
        <v/>
      </c>
      <c r="H8" s="51" t="str">
        <f>IFERROR(INDEX($Q$6:$Q$305,MATCH(3,$S$6:$S$305,0)),"")</f>
        <v/>
      </c>
      <c r="I8" s="50" t="str">
        <f>IFERROR(INDEX($R$6:$R$305,MATCH(3,$S$6:$S$305,0)),"")</f>
        <v/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/>
      </c>
      <c r="Q8" t="str">
        <f t="shared" si="0"/>
        <v/>
      </c>
      <c r="R8" t="str">
        <f t="shared" si="1"/>
        <v/>
      </c>
      <c r="S8" t="str">
        <f>IF(P8="","",COUNTIFS($R$6:$R$305,"&gt;"&amp;R8,$P$6:$P$305,"&lt;&gt;")+COUNTIFS($R$6:$R8,"="&amp;R8,$P$6:$P8,"&lt;&gt;"))</f>
        <v/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/>
      </c>
      <c r="Q9" t="str">
        <f t="shared" si="0"/>
        <v/>
      </c>
      <c r="R9" t="str">
        <f t="shared" si="1"/>
        <v/>
      </c>
      <c r="S9" t="str">
        <f>IF(P9="","",COUNTIFS($R$6:$R$305,"&gt;"&amp;R9,$P$6:$P$305,"&lt;&gt;")+COUNTIFS($R$6:$R9,"="&amp;R9,$P$6:$P9,"&lt;&gt;"))</f>
        <v/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/>
      </c>
      <c r="Q10" t="str">
        <f t="shared" si="0"/>
        <v/>
      </c>
      <c r="R10" t="str">
        <f t="shared" si="1"/>
        <v/>
      </c>
      <c r="S10" t="str">
        <f>IF(P10="","",COUNTIFS($R$6:$R$305,"&gt;"&amp;R10,$P$6:$P$305,"&lt;&gt;")+COUNTIFS($R$6:$R10,"="&amp;R10,$P$6:$P10,"&lt;&gt;"))</f>
        <v/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/>
      </c>
      <c r="Q11" t="str">
        <f t="shared" si="0"/>
        <v/>
      </c>
      <c r="R11" t="str">
        <f t="shared" si="1"/>
        <v/>
      </c>
      <c r="S11" t="str">
        <f>IF(P11="","",COUNTIFS($R$6:$R$305,"&gt;"&amp;R11,$P$6:$P$305,"&lt;&gt;")+COUNTIFS($R$6:$R11,"="&amp;R11,$P$6:$P11,"&lt;&gt;"))</f>
        <v/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/>
      </c>
      <c r="Q12" t="str">
        <f t="shared" si="0"/>
        <v/>
      </c>
      <c r="R12" t="str">
        <f t="shared" si="1"/>
        <v/>
      </c>
      <c r="S12" t="str">
        <f>IF(P12="","",COUNTIFS($R$6:$R$305,"&gt;"&amp;R12,$P$6:$P$305,"&lt;&gt;")+COUNTIFS($R$6:$R12,"="&amp;R12,$P$6:$P12,"&lt;&gt;"))</f>
        <v/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/>
      </c>
      <c r="Q13" t="str">
        <f t="shared" si="0"/>
        <v/>
      </c>
      <c r="R13" t="str">
        <f t="shared" si="1"/>
        <v/>
      </c>
      <c r="S13" t="str">
        <f>IF(P13="","",COUNTIFS($R$6:$R$305,"&gt;"&amp;R13,$P$6:$P$305,"&lt;&gt;")+COUNTIFS($R$6:$R13,"="&amp;R13,$P$6:$P13,"&lt;&gt;"))</f>
        <v/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/>
      </c>
      <c r="Q14" t="str">
        <f t="shared" si="0"/>
        <v/>
      </c>
      <c r="R14" t="str">
        <f t="shared" si="1"/>
        <v/>
      </c>
      <c r="S14" t="str">
        <f>IF(P14="","",COUNTIFS($R$6:$R$305,"&gt;"&amp;R14,$P$6:$P$305,"&lt;&gt;")+COUNTIFS($R$6:$R14,"="&amp;R14,$P$6:$P14,"&lt;&gt;"))</f>
        <v/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/>
      </c>
      <c r="Q15" t="str">
        <f t="shared" si="0"/>
        <v/>
      </c>
      <c r="R15" t="str">
        <f t="shared" si="1"/>
        <v/>
      </c>
      <c r="S15" t="str">
        <f>IF(P15="","",COUNTIFS($R$6:$R$305,"&gt;"&amp;R15,$P$6:$P$305,"&lt;&gt;")+COUNTIFS($R$6:$R15,"="&amp;R15,$P$6:$P15,"&lt;&gt;"))</f>
        <v/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/>
      </c>
      <c r="Q16" t="str">
        <f t="shared" si="0"/>
        <v/>
      </c>
      <c r="R16" t="str">
        <f t="shared" si="1"/>
        <v/>
      </c>
      <c r="S16" t="str">
        <f>IF(P16="","",COUNTIFS($R$6:$R$305,"&gt;"&amp;R16,$P$6:$P$305,"&lt;&gt;")+COUNTIFS($R$6:$R16,"="&amp;R16,$P$6:$P16,"&lt;&gt;"))</f>
        <v/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/>
      </c>
      <c r="Q17" t="str">
        <f t="shared" si="0"/>
        <v/>
      </c>
      <c r="R17" t="str">
        <f t="shared" si="1"/>
        <v/>
      </c>
      <c r="S17" t="str">
        <f>IF(P17="","",COUNTIFS($R$6:$R$305,"&gt;"&amp;R17,$P$6:$P$305,"&lt;&gt;")+COUNTIFS($R$6:$R17,"="&amp;R17,$P$6:$P17,"&lt;&gt;"))</f>
        <v/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/>
      </c>
      <c r="Q18" t="str">
        <f t="shared" si="0"/>
        <v/>
      </c>
      <c r="R18" t="str">
        <f t="shared" si="1"/>
        <v/>
      </c>
      <c r="S18" t="str">
        <f>IF(P18="","",COUNTIFS($R$6:$R$305,"&gt;"&amp;R18,$P$6:$P$305,"&lt;&gt;")+COUNTIFS($R$6:$R18,"="&amp;R18,$P$6:$P18,"&lt;&gt;"))</f>
        <v/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/>
      </c>
      <c r="Q19" t="str">
        <f t="shared" si="0"/>
        <v/>
      </c>
      <c r="R19" t="str">
        <f t="shared" si="1"/>
        <v/>
      </c>
      <c r="S19" t="str">
        <f>IF(P19="","",COUNTIFS($R$6:$R$305,"&gt;"&amp;R19,$P$6:$P$305,"&lt;&gt;")+COUNTIFS($R$6:$R19,"="&amp;R19,$P$6:$P19,"&lt;&gt;"))</f>
        <v/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/>
      </c>
      <c r="Q20" t="str">
        <f t="shared" si="0"/>
        <v/>
      </c>
      <c r="R20" t="str">
        <f t="shared" si="1"/>
        <v/>
      </c>
      <c r="S20" t="str">
        <f>IF(P20="","",COUNTIFS($R$6:$R$305,"&gt;"&amp;R20,$P$6:$P$305,"&lt;&gt;")+COUNTIFS($R$6:$R20,"="&amp;R20,$P$6:$P20,"&lt;&gt;"))</f>
        <v/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/>
      </c>
      <c r="Q21" t="str">
        <f t="shared" si="0"/>
        <v/>
      </c>
      <c r="R21" t="str">
        <f t="shared" si="1"/>
        <v/>
      </c>
      <c r="S21" t="str">
        <f>IF(P21="","",COUNTIFS($R$6:$R$305,"&gt;"&amp;R21,$P$6:$P$305,"&lt;&gt;")+COUNTIFS($R$6:$R21,"="&amp;R21,$P$6:$P21,"&lt;&gt;"))</f>
        <v/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/>
      </c>
      <c r="Q22" t="str">
        <f t="shared" si="0"/>
        <v/>
      </c>
      <c r="R22" t="str">
        <f t="shared" si="1"/>
        <v/>
      </c>
      <c r="S22" t="str">
        <f>IF(P22="","",COUNTIFS($R$6:$R$305,"&gt;"&amp;R22,$P$6:$P$305,"&lt;&gt;")+COUNTIFS($R$6:$R22,"="&amp;R22,$P$6:$P22,"&lt;&gt;"))</f>
        <v/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/>
      </c>
      <c r="Q23" t="str">
        <f t="shared" si="0"/>
        <v/>
      </c>
      <c r="R23" t="str">
        <f t="shared" si="1"/>
        <v/>
      </c>
      <c r="S23" t="str">
        <f>IF(P23="","",COUNTIFS($R$6:$R$305,"&gt;"&amp;R23,$P$6:$P$305,"&lt;&gt;")+COUNTIFS($R$6:$R23,"="&amp;R23,$P$6:$P23,"&lt;&gt;"))</f>
        <v/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/>
      </c>
      <c r="Q24" t="str">
        <f t="shared" si="0"/>
        <v/>
      </c>
      <c r="R24" t="str">
        <f t="shared" si="1"/>
        <v/>
      </c>
      <c r="S24" t="str">
        <f>IF(P24="","",COUNTIFS($R$6:$R$305,"&gt;"&amp;R24,$P$6:$P$305,"&lt;&gt;")+COUNTIFS($R$6:$R24,"="&amp;R24,$P$6:$P24,"&lt;&gt;"))</f>
        <v/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/>
      </c>
      <c r="Q25" t="str">
        <f t="shared" si="0"/>
        <v/>
      </c>
      <c r="R25" t="str">
        <f t="shared" si="1"/>
        <v/>
      </c>
      <c r="S25" t="str">
        <f>IF(P25="","",COUNTIFS($R$6:$R$305,"&gt;"&amp;R25,$P$6:$P$305,"&lt;&gt;")+COUNTIFS($R$6:$R25,"="&amp;R25,$P$6:$P25,"&lt;&gt;"))</f>
        <v/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/>
      </c>
      <c r="Q26" t="str">
        <f t="shared" si="0"/>
        <v/>
      </c>
      <c r="R26" t="str">
        <f t="shared" si="1"/>
        <v/>
      </c>
      <c r="S26" t="str">
        <f>IF(P26="","",COUNTIFS($R$6:$R$305,"&gt;"&amp;R26,$P$6:$P$305,"&lt;&gt;")+COUNTIFS($R$6:$R26,"="&amp;R26,$P$6:$P26,"&lt;&gt;"))</f>
        <v/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/>
      </c>
      <c r="Q27" t="str">
        <f t="shared" si="0"/>
        <v/>
      </c>
      <c r="R27" t="str">
        <f t="shared" si="1"/>
        <v/>
      </c>
      <c r="S27" t="str">
        <f>IF(P27="","",COUNTIFS($R$6:$R$305,"&gt;"&amp;R27,$P$6:$P$305,"&lt;&gt;")+COUNTIFS($R$6:$R27,"="&amp;R27,$P$6:$P27,"&lt;&gt;"))</f>
        <v/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/>
      </c>
      <c r="Q28" t="str">
        <f t="shared" si="0"/>
        <v/>
      </c>
      <c r="R28" t="str">
        <f t="shared" si="1"/>
        <v/>
      </c>
      <c r="S28" t="str">
        <f>IF(P28="","",COUNTIFS($R$6:$R$305,"&gt;"&amp;R28,$P$6:$P$305,"&lt;&gt;")+COUNTIFS($R$6:$R28,"="&amp;R28,$P$6:$P28,"&lt;&gt;"))</f>
        <v/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/>
      </c>
      <c r="Q29" t="str">
        <f t="shared" si="0"/>
        <v/>
      </c>
      <c r="R29" t="str">
        <f t="shared" si="1"/>
        <v/>
      </c>
      <c r="S29" t="str">
        <f>IF(P29="","",COUNTIFS($R$6:$R$305,"&gt;"&amp;R29,$P$6:$P$305,"&lt;&gt;")+COUNTIFS($R$6:$R29,"="&amp;R29,$P$6:$P29,"&lt;&gt;"))</f>
        <v/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/>
      </c>
      <c r="Q30" t="str">
        <f t="shared" si="0"/>
        <v/>
      </c>
      <c r="R30" t="str">
        <f t="shared" si="1"/>
        <v/>
      </c>
      <c r="S30" t="str">
        <f>IF(P30="","",COUNTIFS($R$6:$R$305,"&gt;"&amp;R30,$P$6:$P$305,"&lt;&gt;")+COUNTIFS($R$6:$R30,"="&amp;R30,$P$6:$P30,"&lt;&gt;"))</f>
        <v/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/>
      </c>
      <c r="Q31" t="str">
        <f t="shared" si="0"/>
        <v/>
      </c>
      <c r="R31" t="str">
        <f t="shared" si="1"/>
        <v/>
      </c>
      <c r="S31" t="str">
        <f>IF(P31="","",COUNTIFS($R$6:$R$305,"&gt;"&amp;R31,$P$6:$P$305,"&lt;&gt;")+COUNTIFS($R$6:$R31,"="&amp;R31,$P$6:$P31,"&lt;&gt;"))</f>
        <v/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/>
      </c>
      <c r="Q32" t="str">
        <f t="shared" si="0"/>
        <v/>
      </c>
      <c r="R32" t="str">
        <f t="shared" si="1"/>
        <v/>
      </c>
      <c r="S32" t="str">
        <f>IF(P32="","",COUNTIFS($R$6:$R$305,"&gt;"&amp;R32,$P$6:$P$305,"&lt;&gt;")+COUNTIFS($R$6:$R32,"="&amp;R32,$P$6:$P32,"&lt;&gt;"))</f>
        <v/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/>
      </c>
      <c r="Q33" t="str">
        <f t="shared" si="0"/>
        <v/>
      </c>
      <c r="R33" t="str">
        <f t="shared" si="1"/>
        <v/>
      </c>
      <c r="S33" t="str">
        <f>IF(P33="","",COUNTIFS($R$6:$R$305,"&gt;"&amp;R33,$P$6:$P$305,"&lt;&gt;")+COUNTIFS($R$6:$R33,"="&amp;R33,$P$6:$P33,"&lt;&gt;"))</f>
        <v/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/>
      </c>
      <c r="Q34" t="str">
        <f t="shared" si="0"/>
        <v/>
      </c>
      <c r="R34" t="str">
        <f t="shared" si="1"/>
        <v/>
      </c>
      <c r="S34" t="str">
        <f>IF(P34="","",COUNTIFS($R$6:$R$305,"&gt;"&amp;R34,$P$6:$P$305,"&lt;&gt;")+COUNTIFS($R$6:$R34,"="&amp;R34,$P$6:$P34,"&lt;&gt;"))</f>
        <v/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2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2026-06-11T21:24:36Z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