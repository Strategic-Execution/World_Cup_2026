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0EB201BB-2657-41BD-8202-7723382628A7}" xr6:coauthVersionLast="47" xr6:coauthVersionMax="47" xr10:uidLastSave="{00000000-0000-0000-0000-000000000000}"/>
  <bookViews>
    <workbookView xWindow="-28920" yWindow="1935" windowWidth="29040" windowHeight="15720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B103" i="9"/>
  <c r="M103" i="9" s="1"/>
  <c r="B102" i="9"/>
  <c r="M102" i="9" s="1"/>
  <c r="M101" i="9"/>
  <c r="B101" i="9"/>
  <c r="A101" i="9" s="1"/>
  <c r="B100" i="9"/>
  <c r="M100" i="9" s="1"/>
  <c r="M99" i="9"/>
  <c r="B99" i="9"/>
  <c r="A99" i="9" s="1"/>
  <c r="B98" i="9"/>
  <c r="M98" i="9" s="1"/>
  <c r="A98" i="9"/>
  <c r="M97" i="9"/>
  <c r="B97" i="9"/>
  <c r="A97" i="9" s="1"/>
  <c r="B96" i="9"/>
  <c r="M96" i="9" s="1"/>
  <c r="M95" i="9"/>
  <c r="B95" i="9"/>
  <c r="A95" i="9"/>
  <c r="B94" i="9"/>
  <c r="M94" i="9" s="1"/>
  <c r="M93" i="9"/>
  <c r="B93" i="9"/>
  <c r="A93" i="9"/>
  <c r="M92" i="9"/>
  <c r="B92" i="9"/>
  <c r="A92" i="9" s="1"/>
  <c r="B91" i="9"/>
  <c r="M91" i="9" s="1"/>
  <c r="A91" i="9"/>
  <c r="B90" i="9"/>
  <c r="M90" i="9" s="1"/>
  <c r="A90" i="9"/>
  <c r="M89" i="9"/>
  <c r="B89" i="9"/>
  <c r="A89" i="9"/>
  <c r="B88" i="9"/>
  <c r="M88" i="9" s="1"/>
  <c r="M87" i="9"/>
  <c r="B87" i="9"/>
  <c r="A87" i="9"/>
  <c r="B86" i="9"/>
  <c r="M86" i="9" s="1"/>
  <c r="M85" i="9"/>
  <c r="B85" i="9"/>
  <c r="A85" i="9"/>
  <c r="B84" i="9"/>
  <c r="B83" i="9"/>
  <c r="M83" i="9" s="1"/>
  <c r="A83" i="9"/>
  <c r="B82" i="9"/>
  <c r="A82" i="9" s="1"/>
  <c r="M81" i="9"/>
  <c r="B81" i="9"/>
  <c r="A81" i="9"/>
  <c r="B80" i="9"/>
  <c r="M80" i="9" s="1"/>
  <c r="M79" i="9"/>
  <c r="B79" i="9"/>
  <c r="A79" i="9" s="1"/>
  <c r="B78" i="9"/>
  <c r="M78" i="9" s="1"/>
  <c r="A78" i="9"/>
  <c r="M77" i="9"/>
  <c r="B77" i="9"/>
  <c r="A77" i="9"/>
  <c r="B76" i="9"/>
  <c r="M76" i="9" s="1"/>
  <c r="A76" i="9"/>
  <c r="M75" i="9"/>
  <c r="B75" i="9"/>
  <c r="A75" i="9"/>
  <c r="B74" i="9"/>
  <c r="M74" i="9" s="1"/>
  <c r="M73" i="9"/>
  <c r="B73" i="9"/>
  <c r="A73" i="9"/>
  <c r="M72" i="9"/>
  <c r="B72" i="9"/>
  <c r="A72" i="9" s="1"/>
  <c r="B71" i="9"/>
  <c r="M71" i="9" s="1"/>
  <c r="A71" i="9"/>
  <c r="B70" i="9"/>
  <c r="M70" i="9" s="1"/>
  <c r="A70" i="9"/>
  <c r="M69" i="9"/>
  <c r="B69" i="9"/>
  <c r="A69" i="9" s="1"/>
  <c r="B68" i="9"/>
  <c r="M68" i="9" s="1"/>
  <c r="M67" i="9"/>
  <c r="B67" i="9"/>
  <c r="A67" i="9"/>
  <c r="B66" i="9"/>
  <c r="M66" i="9" s="1"/>
  <c r="M65" i="9"/>
  <c r="B65" i="9"/>
  <c r="A65" i="9"/>
  <c r="B64" i="9"/>
  <c r="B63" i="9"/>
  <c r="M63" i="9" s="1"/>
  <c r="A63" i="9"/>
  <c r="B62" i="9"/>
  <c r="A62" i="9" s="1"/>
  <c r="M61" i="9"/>
  <c r="B61" i="9"/>
  <c r="A61" i="9"/>
  <c r="B60" i="9"/>
  <c r="M60" i="9" s="1"/>
  <c r="M59" i="9"/>
  <c r="B59" i="9"/>
  <c r="A59" i="9" s="1"/>
  <c r="B58" i="9"/>
  <c r="M58" i="9" s="1"/>
  <c r="A58" i="9"/>
  <c r="M57" i="9"/>
  <c r="B57" i="9"/>
  <c r="A57" i="9"/>
  <c r="B56" i="9"/>
  <c r="M55" i="9"/>
  <c r="B55" i="9"/>
  <c r="A55" i="9"/>
  <c r="B54" i="9"/>
  <c r="M54" i="9" s="1"/>
  <c r="M53" i="9"/>
  <c r="B53" i="9"/>
  <c r="M52" i="9"/>
  <c r="B52" i="9"/>
  <c r="B51" i="9"/>
  <c r="M51" i="9" s="1"/>
  <c r="B50" i="9"/>
  <c r="M50" i="9" s="1"/>
  <c r="M49" i="9"/>
  <c r="B49" i="9"/>
  <c r="B48" i="9"/>
  <c r="M48" i="9" s="1"/>
  <c r="M47" i="9"/>
  <c r="B47" i="9"/>
  <c r="B46" i="9"/>
  <c r="M46" i="9" s="1"/>
  <c r="M45" i="9"/>
  <c r="B45" i="9"/>
  <c r="B44" i="9"/>
  <c r="B43" i="9"/>
  <c r="M43" i="9" s="1"/>
  <c r="B42" i="9"/>
  <c r="M41" i="9"/>
  <c r="B41" i="9"/>
  <c r="B40" i="9"/>
  <c r="B39" i="9"/>
  <c r="M39" i="9" s="1"/>
  <c r="B38" i="9"/>
  <c r="M38" i="9" s="1"/>
  <c r="M37" i="9"/>
  <c r="B37" i="9"/>
  <c r="B36" i="9"/>
  <c r="M35" i="9"/>
  <c r="B35" i="9"/>
  <c r="B34" i="9"/>
  <c r="M34" i="9" s="1"/>
  <c r="M33" i="9"/>
  <c r="B33" i="9"/>
  <c r="B32" i="9"/>
  <c r="B31" i="9"/>
  <c r="M31" i="9" s="1"/>
  <c r="B30" i="9"/>
  <c r="M30" i="9" s="1"/>
  <c r="B29" i="9"/>
  <c r="M29" i="9" s="1"/>
  <c r="B28" i="9"/>
  <c r="M28" i="9" s="1"/>
  <c r="M27" i="9"/>
  <c r="B27" i="9"/>
  <c r="B26" i="9"/>
  <c r="M26" i="9" s="1"/>
  <c r="M25" i="9"/>
  <c r="B25" i="9"/>
  <c r="B24" i="9"/>
  <c r="B23" i="9"/>
  <c r="M23" i="9" s="1"/>
  <c r="M22" i="9"/>
  <c r="B22" i="9"/>
  <c r="M21" i="9"/>
  <c r="B21" i="9"/>
  <c r="B20" i="9"/>
  <c r="B19" i="9"/>
  <c r="M19" i="9" s="1"/>
  <c r="B18" i="9"/>
  <c r="M18" i="9" s="1"/>
  <c r="M17" i="9"/>
  <c r="B17" i="9"/>
  <c r="B16" i="9"/>
  <c r="M16" i="9" s="1"/>
  <c r="M15" i="9"/>
  <c r="B15" i="9"/>
  <c r="B14" i="9"/>
  <c r="M14" i="9" s="1"/>
  <c r="M13" i="9"/>
  <c r="B13" i="9"/>
  <c r="B12" i="9"/>
  <c r="B11" i="9"/>
  <c r="M11" i="9" s="1"/>
  <c r="B10" i="9"/>
  <c r="M10" i="9" s="1"/>
  <c r="B9" i="9"/>
  <c r="M9" i="9" s="1"/>
  <c r="B8" i="9"/>
  <c r="M8" i="9" s="1"/>
  <c r="M7" i="9"/>
  <c r="B7" i="9"/>
  <c r="B6" i="9"/>
  <c r="M6" i="9" s="1"/>
  <c r="M5" i="9"/>
  <c r="B5" i="9"/>
  <c r="R305" i="8"/>
  <c r="P305" i="8"/>
  <c r="S305" i="8" s="1"/>
  <c r="P304" i="8"/>
  <c r="S304" i="8" s="1"/>
  <c r="P303" i="8"/>
  <c r="S303" i="8" s="1"/>
  <c r="P302" i="8"/>
  <c r="S302" i="8" s="1"/>
  <c r="P301" i="8"/>
  <c r="S301" i="8" s="1"/>
  <c r="P300" i="8"/>
  <c r="P299" i="8"/>
  <c r="S299" i="8" s="1"/>
  <c r="P298" i="8"/>
  <c r="P297" i="8"/>
  <c r="P296" i="8"/>
  <c r="P295" i="8"/>
  <c r="P294" i="8"/>
  <c r="S294" i="8" s="1"/>
  <c r="P293" i="8"/>
  <c r="P292" i="8"/>
  <c r="P291" i="8"/>
  <c r="R291" i="8" s="1"/>
  <c r="P290" i="8"/>
  <c r="R289" i="8"/>
  <c r="Q289" i="8"/>
  <c r="P289" i="8"/>
  <c r="S289" i="8" s="1"/>
  <c r="P288" i="8"/>
  <c r="P287" i="8"/>
  <c r="P286" i="8"/>
  <c r="P285" i="8"/>
  <c r="P284" i="8"/>
  <c r="S284" i="8" s="1"/>
  <c r="P283" i="8"/>
  <c r="P282" i="8"/>
  <c r="P281" i="8"/>
  <c r="P280" i="8"/>
  <c r="R279" i="8"/>
  <c r="Q279" i="8"/>
  <c r="P279" i="8"/>
  <c r="S279" i="8" s="1"/>
  <c r="P278" i="8"/>
  <c r="P277" i="8"/>
  <c r="P276" i="8"/>
  <c r="P275" i="8"/>
  <c r="P274" i="8"/>
  <c r="S274" i="8" s="1"/>
  <c r="P273" i="8"/>
  <c r="P272" i="8"/>
  <c r="P271" i="8"/>
  <c r="P270" i="8"/>
  <c r="P269" i="8"/>
  <c r="S269" i="8" s="1"/>
  <c r="P268" i="8"/>
  <c r="P267" i="8"/>
  <c r="P266" i="8"/>
  <c r="P265" i="8"/>
  <c r="P264" i="8"/>
  <c r="S264" i="8" s="1"/>
  <c r="P263" i="8"/>
  <c r="P262" i="8"/>
  <c r="P261" i="8"/>
  <c r="P260" i="8"/>
  <c r="P259" i="8"/>
  <c r="S259" i="8" s="1"/>
  <c r="P258" i="8"/>
  <c r="P257" i="8"/>
  <c r="P256" i="8"/>
  <c r="P255" i="8"/>
  <c r="P254" i="8"/>
  <c r="S254" i="8" s="1"/>
  <c r="P253" i="8"/>
  <c r="P252" i="8"/>
  <c r="P251" i="8"/>
  <c r="P250" i="8"/>
  <c r="R249" i="8"/>
  <c r="Q249" i="8"/>
  <c r="P249" i="8"/>
  <c r="S249" i="8" s="1"/>
  <c r="P248" i="8"/>
  <c r="P247" i="8"/>
  <c r="P246" i="8"/>
  <c r="P245" i="8"/>
  <c r="P244" i="8"/>
  <c r="S244" i="8" s="1"/>
  <c r="P243" i="8"/>
  <c r="P242" i="8"/>
  <c r="P241" i="8"/>
  <c r="P240" i="8"/>
  <c r="P239" i="8"/>
  <c r="S239" i="8" s="1"/>
  <c r="P238" i="8"/>
  <c r="P237" i="8"/>
  <c r="P236" i="8"/>
  <c r="P235" i="8"/>
  <c r="P234" i="8"/>
  <c r="S234" i="8" s="1"/>
  <c r="P233" i="8"/>
  <c r="P232" i="8"/>
  <c r="P231" i="8"/>
  <c r="R231" i="8" s="1"/>
  <c r="P230" i="8"/>
  <c r="P229" i="8"/>
  <c r="S229" i="8" s="1"/>
  <c r="P228" i="8"/>
  <c r="P227" i="8"/>
  <c r="P226" i="8"/>
  <c r="P225" i="8"/>
  <c r="P224" i="8"/>
  <c r="S224" i="8" s="1"/>
  <c r="P223" i="8"/>
  <c r="P222" i="8"/>
  <c r="P221" i="8"/>
  <c r="R221" i="8" s="1"/>
  <c r="P220" i="8"/>
  <c r="R219" i="8"/>
  <c r="Q219" i="8"/>
  <c r="P219" i="8"/>
  <c r="S219" i="8" s="1"/>
  <c r="P218" i="8"/>
  <c r="P217" i="8"/>
  <c r="P216" i="8"/>
  <c r="P215" i="8"/>
  <c r="P214" i="8"/>
  <c r="S214" i="8" s="1"/>
  <c r="P213" i="8"/>
  <c r="P212" i="8"/>
  <c r="P211" i="8"/>
  <c r="R211" i="8" s="1"/>
  <c r="P210" i="8"/>
  <c r="R209" i="8"/>
  <c r="P209" i="8"/>
  <c r="S209" i="8" s="1"/>
  <c r="P208" i="8"/>
  <c r="P207" i="8"/>
  <c r="P206" i="8"/>
  <c r="Q206" i="8" s="1"/>
  <c r="R205" i="8"/>
  <c r="P205" i="8"/>
  <c r="P204" i="8"/>
  <c r="P203" i="8"/>
  <c r="P202" i="8"/>
  <c r="P201" i="8"/>
  <c r="S201" i="8" s="1"/>
  <c r="P200" i="8"/>
  <c r="R200" i="8" s="1"/>
  <c r="P199" i="8"/>
  <c r="S199" i="8" s="1"/>
  <c r="P198" i="8"/>
  <c r="P197" i="8"/>
  <c r="R197" i="8" s="1"/>
  <c r="R196" i="8"/>
  <c r="P196" i="8"/>
  <c r="Q196" i="8" s="1"/>
  <c r="P195" i="8"/>
  <c r="P194" i="8"/>
  <c r="R194" i="8" s="1"/>
  <c r="P193" i="8"/>
  <c r="P192" i="8"/>
  <c r="R192" i="8" s="1"/>
  <c r="S191" i="8"/>
  <c r="P191" i="8"/>
  <c r="Q191" i="8" s="1"/>
  <c r="P190" i="8"/>
  <c r="P189" i="8"/>
  <c r="Q189" i="8" s="1"/>
  <c r="P188" i="8"/>
  <c r="P187" i="8"/>
  <c r="P186" i="8"/>
  <c r="Q186" i="8" s="1"/>
  <c r="P185" i="8"/>
  <c r="R185" i="8" s="1"/>
  <c r="P184" i="8"/>
  <c r="S184" i="8" s="1"/>
  <c r="P183" i="8"/>
  <c r="R182" i="8"/>
  <c r="P182" i="8"/>
  <c r="P181" i="8"/>
  <c r="Q181" i="8" s="1"/>
  <c r="P180" i="8"/>
  <c r="P179" i="8"/>
  <c r="S179" i="8" s="1"/>
  <c r="P178" i="8"/>
  <c r="P177" i="8"/>
  <c r="R177" i="8" s="1"/>
  <c r="P176" i="8"/>
  <c r="Q176" i="8" s="1"/>
  <c r="P175" i="8"/>
  <c r="P174" i="8"/>
  <c r="P173" i="8"/>
  <c r="P172" i="8"/>
  <c r="R172" i="8" s="1"/>
  <c r="P171" i="8"/>
  <c r="P170" i="8"/>
  <c r="P169" i="8"/>
  <c r="S169" i="8" s="1"/>
  <c r="P168" i="8"/>
  <c r="P167" i="8"/>
  <c r="P166" i="8"/>
  <c r="R166" i="8" s="1"/>
  <c r="P165" i="8"/>
  <c r="R165" i="8" s="1"/>
  <c r="P164" i="8"/>
  <c r="R164" i="8" s="1"/>
  <c r="P163" i="8"/>
  <c r="P162" i="8"/>
  <c r="P161" i="8"/>
  <c r="Q161" i="8" s="1"/>
  <c r="P160" i="8"/>
  <c r="P159" i="8"/>
  <c r="S159" i="8" s="1"/>
  <c r="P158" i="8"/>
  <c r="P157" i="8"/>
  <c r="P156" i="8"/>
  <c r="Q156" i="8" s="1"/>
  <c r="P155" i="8"/>
  <c r="P154" i="8"/>
  <c r="S154" i="8" s="1"/>
  <c r="P153" i="8"/>
  <c r="P152" i="8"/>
  <c r="R152" i="8" s="1"/>
  <c r="P151" i="8"/>
  <c r="S151" i="8" s="1"/>
  <c r="P150" i="8"/>
  <c r="R150" i="8" s="1"/>
  <c r="P149" i="8"/>
  <c r="S149" i="8" s="1"/>
  <c r="P148" i="8"/>
  <c r="P147" i="8"/>
  <c r="P146" i="8"/>
  <c r="P145" i="8"/>
  <c r="R145" i="8" s="1"/>
  <c r="P144" i="8"/>
  <c r="P143" i="8"/>
  <c r="P142" i="8"/>
  <c r="R142" i="8" s="1"/>
  <c r="P141" i="8"/>
  <c r="Q141" i="8" s="1"/>
  <c r="P140" i="8"/>
  <c r="P139" i="8"/>
  <c r="Q139" i="8" s="1"/>
  <c r="P138" i="8"/>
  <c r="P137" i="8"/>
  <c r="P136" i="8"/>
  <c r="Q136" i="8" s="1"/>
  <c r="P135" i="8"/>
  <c r="P134" i="8"/>
  <c r="S134" i="8" s="1"/>
  <c r="P133" i="8"/>
  <c r="P132" i="8"/>
  <c r="R132" i="8" s="1"/>
  <c r="P131" i="8"/>
  <c r="P130" i="8"/>
  <c r="P129" i="8"/>
  <c r="S129" i="8" s="1"/>
  <c r="P128" i="8"/>
  <c r="R128" i="8" s="1"/>
  <c r="P127" i="8"/>
  <c r="R127" i="8" s="1"/>
  <c r="P126" i="8"/>
  <c r="P125" i="8"/>
  <c r="Q124" i="8"/>
  <c r="P124" i="8"/>
  <c r="S124" i="8" s="1"/>
  <c r="P123" i="8"/>
  <c r="R122" i="8"/>
  <c r="P122" i="8"/>
  <c r="R121" i="8"/>
  <c r="P121" i="8"/>
  <c r="P120" i="8"/>
  <c r="P119" i="8"/>
  <c r="S119" i="8" s="1"/>
  <c r="P118" i="8"/>
  <c r="P117" i="8"/>
  <c r="R117" i="8" s="1"/>
  <c r="P116" i="8"/>
  <c r="S116" i="8" s="1"/>
  <c r="P115" i="8"/>
  <c r="R115" i="8" s="1"/>
  <c r="R114" i="8"/>
  <c r="P114" i="8"/>
  <c r="S114" i="8" s="1"/>
  <c r="P113" i="8"/>
  <c r="R113" i="8" s="1"/>
  <c r="R112" i="8"/>
  <c r="P112" i="8"/>
  <c r="P111" i="8"/>
  <c r="Q111" i="8" s="1"/>
  <c r="P110" i="8"/>
  <c r="P109" i="8"/>
  <c r="Q109" i="8" s="1"/>
  <c r="P108" i="8"/>
  <c r="R108" i="8" s="1"/>
  <c r="P107" i="8"/>
  <c r="R107" i="8" s="1"/>
  <c r="P106" i="8"/>
  <c r="V105" i="8"/>
  <c r="U105" i="8"/>
  <c r="T105" i="8"/>
  <c r="W105" i="8" s="1"/>
  <c r="P105" i="8"/>
  <c r="V104" i="8"/>
  <c r="U104" i="8"/>
  <c r="T104" i="8"/>
  <c r="W104" i="8" s="1"/>
  <c r="P104" i="8"/>
  <c r="W103" i="8"/>
  <c r="V103" i="8"/>
  <c r="U103" i="8"/>
  <c r="T103" i="8"/>
  <c r="P103" i="8"/>
  <c r="R103" i="8" s="1"/>
  <c r="U102" i="8"/>
  <c r="V102" i="8" s="1"/>
  <c r="T102" i="8"/>
  <c r="W102" i="8" s="1"/>
  <c r="P102" i="8"/>
  <c r="V101" i="8"/>
  <c r="U101" i="8"/>
  <c r="T101" i="8"/>
  <c r="W101" i="8" s="1"/>
  <c r="P101" i="8"/>
  <c r="Q101" i="8" s="1"/>
  <c r="V100" i="8"/>
  <c r="U100" i="8"/>
  <c r="T100" i="8"/>
  <c r="W100" i="8" s="1"/>
  <c r="P100" i="8"/>
  <c r="V99" i="8"/>
  <c r="U99" i="8"/>
  <c r="T99" i="8"/>
  <c r="W99" i="8" s="1"/>
  <c r="P99" i="8"/>
  <c r="V98" i="8"/>
  <c r="U98" i="8"/>
  <c r="T98" i="8"/>
  <c r="W98" i="8" s="1"/>
  <c r="P98" i="8"/>
  <c r="R98" i="8" s="1"/>
  <c r="V97" i="8"/>
  <c r="U97" i="8"/>
  <c r="T97" i="8"/>
  <c r="W97" i="8" s="1"/>
  <c r="P97" i="8"/>
  <c r="V96" i="8"/>
  <c r="U96" i="8"/>
  <c r="T96" i="8"/>
  <c r="W96" i="8" s="1"/>
  <c r="P96" i="8"/>
  <c r="S96" i="8" s="1"/>
  <c r="V95" i="8"/>
  <c r="U95" i="8"/>
  <c r="T95" i="8"/>
  <c r="W95" i="8" s="1"/>
  <c r="P95" i="8"/>
  <c r="R95" i="8" s="1"/>
  <c r="V94" i="8"/>
  <c r="U94" i="8"/>
  <c r="T94" i="8"/>
  <c r="W94" i="8" s="1"/>
  <c r="P94" i="8"/>
  <c r="W93" i="8"/>
  <c r="V93" i="8"/>
  <c r="U93" i="8"/>
  <c r="T93" i="8"/>
  <c r="P93" i="8"/>
  <c r="V92" i="8"/>
  <c r="U92" i="8"/>
  <c r="T92" i="8"/>
  <c r="W92" i="8" s="1"/>
  <c r="P92" i="8"/>
  <c r="R92" i="8" s="1"/>
  <c r="V91" i="8"/>
  <c r="U91" i="8"/>
  <c r="T91" i="8"/>
  <c r="W91" i="8" s="1"/>
  <c r="P91" i="8"/>
  <c r="S91" i="8" s="1"/>
  <c r="V90" i="8"/>
  <c r="U90" i="8"/>
  <c r="T90" i="8"/>
  <c r="W90" i="8" s="1"/>
  <c r="P90" i="8"/>
  <c r="S90" i="8" s="1"/>
  <c r="V89" i="8"/>
  <c r="U89" i="8"/>
  <c r="T89" i="8"/>
  <c r="W89" i="8" s="1"/>
  <c r="P89" i="8"/>
  <c r="R89" i="8" s="1"/>
  <c r="W88" i="8"/>
  <c r="V88" i="8"/>
  <c r="U88" i="8"/>
  <c r="T88" i="8"/>
  <c r="P88" i="8"/>
  <c r="R88" i="8" s="1"/>
  <c r="U87" i="8"/>
  <c r="V87" i="8" s="1"/>
  <c r="T87" i="8"/>
  <c r="W87" i="8" s="1"/>
  <c r="P87" i="8"/>
  <c r="V86" i="8"/>
  <c r="U86" i="8"/>
  <c r="T86" i="8"/>
  <c r="W86" i="8" s="1"/>
  <c r="P86" i="8"/>
  <c r="V85" i="8"/>
  <c r="U85" i="8"/>
  <c r="T85" i="8"/>
  <c r="W85" i="8" s="1"/>
  <c r="R85" i="8"/>
  <c r="Q85" i="8"/>
  <c r="P85" i="8"/>
  <c r="S85" i="8" s="1"/>
  <c r="V84" i="8"/>
  <c r="U84" i="8"/>
  <c r="T84" i="8"/>
  <c r="W84" i="8" s="1"/>
  <c r="P84" i="8"/>
  <c r="R84" i="8" s="1"/>
  <c r="W83" i="8"/>
  <c r="V83" i="8"/>
  <c r="U83" i="8"/>
  <c r="T83" i="8"/>
  <c r="P83" i="8"/>
  <c r="R83" i="8" s="1"/>
  <c r="U82" i="8"/>
  <c r="V82" i="8" s="1"/>
  <c r="T82" i="8"/>
  <c r="W82" i="8" s="1"/>
  <c r="P82" i="8"/>
  <c r="V81" i="8"/>
  <c r="U81" i="8"/>
  <c r="T81" i="8"/>
  <c r="W81" i="8" s="1"/>
  <c r="P81" i="8"/>
  <c r="V80" i="8"/>
  <c r="U80" i="8"/>
  <c r="T80" i="8"/>
  <c r="W80" i="8" s="1"/>
  <c r="P80" i="8"/>
  <c r="V79" i="8"/>
  <c r="U79" i="8"/>
  <c r="T79" i="8"/>
  <c r="W79" i="8" s="1"/>
  <c r="P79" i="8"/>
  <c r="W78" i="8"/>
  <c r="V78" i="8"/>
  <c r="U78" i="8"/>
  <c r="T78" i="8"/>
  <c r="P78" i="8"/>
  <c r="R78" i="8" s="1"/>
  <c r="U77" i="8"/>
  <c r="V77" i="8" s="1"/>
  <c r="T77" i="8"/>
  <c r="W77" i="8" s="1"/>
  <c r="P77" i="8"/>
  <c r="V76" i="8"/>
  <c r="U76" i="8"/>
  <c r="T76" i="8"/>
  <c r="W76" i="8" s="1"/>
  <c r="S76" i="8"/>
  <c r="P76" i="8"/>
  <c r="Q76" i="8" s="1"/>
  <c r="V75" i="8"/>
  <c r="U75" i="8"/>
  <c r="T75" i="8"/>
  <c r="W75" i="8" s="1"/>
  <c r="P75" i="8"/>
  <c r="S75" i="8" s="1"/>
  <c r="V74" i="8"/>
  <c r="U74" i="8"/>
  <c r="T74" i="8"/>
  <c r="W74" i="8" s="1"/>
  <c r="P74" i="8"/>
  <c r="V73" i="8"/>
  <c r="U73" i="8"/>
  <c r="T73" i="8"/>
  <c r="W73" i="8" s="1"/>
  <c r="P73" i="8"/>
  <c r="R73" i="8" s="1"/>
  <c r="U72" i="8"/>
  <c r="V72" i="8" s="1"/>
  <c r="T72" i="8"/>
  <c r="W72" i="8" s="1"/>
  <c r="P72" i="8"/>
  <c r="V71" i="8"/>
  <c r="U71" i="8"/>
  <c r="T71" i="8"/>
  <c r="W71" i="8" s="1"/>
  <c r="P71" i="8"/>
  <c r="V70" i="8"/>
  <c r="U70" i="8"/>
  <c r="T70" i="8"/>
  <c r="W70" i="8" s="1"/>
  <c r="R70" i="8"/>
  <c r="P70" i="8"/>
  <c r="V69" i="8"/>
  <c r="U69" i="8"/>
  <c r="T69" i="8"/>
  <c r="W69" i="8" s="1"/>
  <c r="R69" i="8"/>
  <c r="P69" i="8"/>
  <c r="V68" i="8"/>
  <c r="U68" i="8"/>
  <c r="T68" i="8"/>
  <c r="W68" i="8" s="1"/>
  <c r="P68" i="8"/>
  <c r="V67" i="8"/>
  <c r="U67" i="8"/>
  <c r="T67" i="8"/>
  <c r="W67" i="8" s="1"/>
  <c r="P67" i="8"/>
  <c r="R67" i="8" s="1"/>
  <c r="V66" i="8"/>
  <c r="U66" i="8"/>
  <c r="T66" i="8"/>
  <c r="W66" i="8" s="1"/>
  <c r="P66" i="8"/>
  <c r="Q66" i="8" s="1"/>
  <c r="V65" i="8"/>
  <c r="U65" i="8"/>
  <c r="T65" i="8"/>
  <c r="W65" i="8" s="1"/>
  <c r="P65" i="8"/>
  <c r="S65" i="8" s="1"/>
  <c r="V64" i="8"/>
  <c r="U64" i="8"/>
  <c r="T64" i="8"/>
  <c r="W64" i="8" s="1"/>
  <c r="P64" i="8"/>
  <c r="R64" i="8" s="1"/>
  <c r="W63" i="8"/>
  <c r="V63" i="8"/>
  <c r="U63" i="8"/>
  <c r="T63" i="8"/>
  <c r="P63" i="8"/>
  <c r="R63" i="8" s="1"/>
  <c r="U62" i="8"/>
  <c r="V62" i="8" s="1"/>
  <c r="T62" i="8"/>
  <c r="W62" i="8" s="1"/>
  <c r="P62" i="8"/>
  <c r="R62" i="8" s="1"/>
  <c r="V61" i="8"/>
  <c r="U61" i="8"/>
  <c r="T61" i="8"/>
  <c r="W61" i="8" s="1"/>
  <c r="P61" i="8"/>
  <c r="R61" i="8" s="1"/>
  <c r="V60" i="8"/>
  <c r="U60" i="8"/>
  <c r="T60" i="8"/>
  <c r="W60" i="8" s="1"/>
  <c r="P60" i="8"/>
  <c r="S60" i="8" s="1"/>
  <c r="V59" i="8"/>
  <c r="U59" i="8"/>
  <c r="T59" i="8"/>
  <c r="W59" i="8" s="1"/>
  <c r="P59" i="8"/>
  <c r="W58" i="8"/>
  <c r="V58" i="8"/>
  <c r="U58" i="8"/>
  <c r="T58" i="8"/>
  <c r="R58" i="8"/>
  <c r="P58" i="8"/>
  <c r="U57" i="8"/>
  <c r="V57" i="8" s="1"/>
  <c r="T57" i="8"/>
  <c r="W57" i="8" s="1"/>
  <c r="P57" i="8"/>
  <c r="V56" i="8"/>
  <c r="U56" i="8"/>
  <c r="T56" i="8"/>
  <c r="W56" i="8" s="1"/>
  <c r="P56" i="8"/>
  <c r="V55" i="8"/>
  <c r="U55" i="8"/>
  <c r="T55" i="8"/>
  <c r="P55" i="8"/>
  <c r="S55" i="8" s="1"/>
  <c r="U54" i="8"/>
  <c r="V54" i="8" s="1"/>
  <c r="T54" i="8"/>
  <c r="P54" i="8"/>
  <c r="Q54" i="8" s="1"/>
  <c r="V53" i="8"/>
  <c r="U53" i="8"/>
  <c r="T53" i="8"/>
  <c r="P53" i="8"/>
  <c r="U52" i="8"/>
  <c r="V52" i="8" s="1"/>
  <c r="T52" i="8"/>
  <c r="S52" i="8"/>
  <c r="P52" i="8"/>
  <c r="R52" i="8" s="1"/>
  <c r="V51" i="8"/>
  <c r="U51" i="8"/>
  <c r="T51" i="8"/>
  <c r="R51" i="8"/>
  <c r="Q51" i="8"/>
  <c r="P51" i="8"/>
  <c r="S51" i="8" s="1"/>
  <c r="U50" i="8"/>
  <c r="V50" i="8" s="1"/>
  <c r="T50" i="8"/>
  <c r="P50" i="8"/>
  <c r="S50" i="8" s="1"/>
  <c r="V49" i="8"/>
  <c r="U49" i="8"/>
  <c r="T49" i="8"/>
  <c r="P49" i="8"/>
  <c r="S49" i="8" s="1"/>
  <c r="U48" i="8"/>
  <c r="V48" i="8" s="1"/>
  <c r="T48" i="8"/>
  <c r="P48" i="8"/>
  <c r="Q48" i="8" s="1"/>
  <c r="U47" i="8"/>
  <c r="V47" i="8" s="1"/>
  <c r="T47" i="8"/>
  <c r="P47" i="8"/>
  <c r="S47" i="8" s="1"/>
  <c r="U46" i="8"/>
  <c r="V46" i="8" s="1"/>
  <c r="T46" i="8"/>
  <c r="P46" i="8"/>
  <c r="S46" i="8" s="1"/>
  <c r="V45" i="8"/>
  <c r="U45" i="8"/>
  <c r="T45" i="8"/>
  <c r="S45" i="8"/>
  <c r="R45" i="8"/>
  <c r="P45" i="8"/>
  <c r="Q45" i="8" s="1"/>
  <c r="V44" i="8"/>
  <c r="U44" i="8"/>
  <c r="T44" i="8"/>
  <c r="S44" i="8"/>
  <c r="R44" i="8"/>
  <c r="P44" i="8"/>
  <c r="Q44" i="8" s="1"/>
  <c r="V43" i="8"/>
  <c r="U43" i="8"/>
  <c r="T43" i="8"/>
  <c r="P43" i="8"/>
  <c r="Q43" i="8" s="1"/>
  <c r="U42" i="8"/>
  <c r="V42" i="8" s="1"/>
  <c r="T42" i="8"/>
  <c r="R42" i="8"/>
  <c r="Q42" i="8"/>
  <c r="P42" i="8"/>
  <c r="S42" i="8" s="1"/>
  <c r="V41" i="8"/>
  <c r="U41" i="8"/>
  <c r="T41" i="8"/>
  <c r="P41" i="8"/>
  <c r="S41" i="8" s="1"/>
  <c r="V40" i="8"/>
  <c r="U40" i="8"/>
  <c r="T40" i="8"/>
  <c r="P40" i="8"/>
  <c r="Q40" i="8" s="1"/>
  <c r="V39" i="8"/>
  <c r="U39" i="8"/>
  <c r="T39" i="8"/>
  <c r="R39" i="8"/>
  <c r="Q39" i="8"/>
  <c r="P39" i="8"/>
  <c r="S39" i="8" s="1"/>
  <c r="V38" i="8"/>
  <c r="U38" i="8"/>
  <c r="T38" i="8"/>
  <c r="P38" i="8"/>
  <c r="U37" i="8"/>
  <c r="V37" i="8" s="1"/>
  <c r="T37" i="8"/>
  <c r="P37" i="8"/>
  <c r="R37" i="8" s="1"/>
  <c r="U36" i="8"/>
  <c r="V36" i="8" s="1"/>
  <c r="T36" i="8"/>
  <c r="P36" i="8"/>
  <c r="S36" i="8" s="1"/>
  <c r="V35" i="8"/>
  <c r="U35" i="8"/>
  <c r="T35" i="8"/>
  <c r="P35" i="8"/>
  <c r="R35" i="8" s="1"/>
  <c r="V34" i="8"/>
  <c r="U34" i="8"/>
  <c r="T34" i="8"/>
  <c r="P34" i="8"/>
  <c r="V33" i="8"/>
  <c r="U33" i="8"/>
  <c r="T33" i="8"/>
  <c r="P33" i="8"/>
  <c r="Q33" i="8" s="1"/>
  <c r="V32" i="8"/>
  <c r="U32" i="8"/>
  <c r="T32" i="8"/>
  <c r="Q32" i="8"/>
  <c r="P32" i="8"/>
  <c r="R32" i="8" s="1"/>
  <c r="V31" i="8"/>
  <c r="U31" i="8"/>
  <c r="T31" i="8"/>
  <c r="P31" i="8"/>
  <c r="Q31" i="8" s="1"/>
  <c r="U30" i="8"/>
  <c r="V30" i="8" s="1"/>
  <c r="T30" i="8"/>
  <c r="P30" i="8"/>
  <c r="U29" i="8"/>
  <c r="V29" i="8" s="1"/>
  <c r="T29" i="8"/>
  <c r="R29" i="8"/>
  <c r="P29" i="8"/>
  <c r="S29" i="8" s="1"/>
  <c r="U28" i="8"/>
  <c r="V28" i="8" s="1"/>
  <c r="T28" i="8"/>
  <c r="P28" i="8"/>
  <c r="R28" i="8" s="1"/>
  <c r="U27" i="8"/>
  <c r="V27" i="8" s="1"/>
  <c r="T27" i="8"/>
  <c r="P27" i="8"/>
  <c r="Q27" i="8" s="1"/>
  <c r="U26" i="8"/>
  <c r="V26" i="8" s="1"/>
  <c r="T26" i="8"/>
  <c r="P26" i="8"/>
  <c r="S26" i="8" s="1"/>
  <c r="U25" i="8"/>
  <c r="V25" i="8" s="1"/>
  <c r="T25" i="8"/>
  <c r="R25" i="8"/>
  <c r="P25" i="8"/>
  <c r="S25" i="8" s="1"/>
  <c r="U24" i="8"/>
  <c r="V24" i="8" s="1"/>
  <c r="T24" i="8"/>
  <c r="P24" i="8"/>
  <c r="S24" i="8" s="1"/>
  <c r="U23" i="8"/>
  <c r="V23" i="8" s="1"/>
  <c r="T23" i="8"/>
  <c r="P23" i="8"/>
  <c r="S23" i="8" s="1"/>
  <c r="U22" i="8"/>
  <c r="V22" i="8" s="1"/>
  <c r="T22" i="8"/>
  <c r="P22" i="8"/>
  <c r="R22" i="8" s="1"/>
  <c r="V21" i="8"/>
  <c r="U21" i="8"/>
  <c r="T21" i="8"/>
  <c r="P21" i="8"/>
  <c r="S21" i="8" s="1"/>
  <c r="U20" i="8"/>
  <c r="V20" i="8" s="1"/>
  <c r="T20" i="8"/>
  <c r="S20" i="8"/>
  <c r="P20" i="8"/>
  <c r="R20" i="8" s="1"/>
  <c r="V19" i="8"/>
  <c r="U19" i="8"/>
  <c r="T19" i="8"/>
  <c r="P19" i="8"/>
  <c r="S19" i="8" s="1"/>
  <c r="V18" i="8"/>
  <c r="U18" i="8"/>
  <c r="T18" i="8"/>
  <c r="P18" i="8"/>
  <c r="R18" i="8" s="1"/>
  <c r="U17" i="8"/>
  <c r="V17" i="8" s="1"/>
  <c r="T17" i="8"/>
  <c r="P17" i="8"/>
  <c r="Q17" i="8" s="1"/>
  <c r="V16" i="8"/>
  <c r="U16" i="8"/>
  <c r="T16" i="8"/>
  <c r="P16" i="8"/>
  <c r="S16" i="8" s="1"/>
  <c r="U15" i="8"/>
  <c r="V15" i="8" s="1"/>
  <c r="T15" i="8"/>
  <c r="P15" i="8"/>
  <c r="R15" i="8" s="1"/>
  <c r="U14" i="8"/>
  <c r="V14" i="8" s="1"/>
  <c r="T14" i="8"/>
  <c r="Q14" i="8"/>
  <c r="P14" i="8"/>
  <c r="S14" i="8" s="1"/>
  <c r="V13" i="8"/>
  <c r="U13" i="8"/>
  <c r="T13" i="8"/>
  <c r="P13" i="8"/>
  <c r="Q13" i="8" s="1"/>
  <c r="U12" i="8"/>
  <c r="V12" i="8" s="1"/>
  <c r="T12" i="8"/>
  <c r="P12" i="8"/>
  <c r="R12" i="8" s="1"/>
  <c r="V11" i="8"/>
  <c r="U11" i="8"/>
  <c r="T11" i="8"/>
  <c r="P11" i="8"/>
  <c r="U10" i="8"/>
  <c r="V10" i="8" s="1"/>
  <c r="T10" i="8"/>
  <c r="P10" i="8"/>
  <c r="Q10" i="8" s="1"/>
  <c r="U9" i="8"/>
  <c r="V9" i="8" s="1"/>
  <c r="T9" i="8"/>
  <c r="P9" i="8"/>
  <c r="S9" i="8" s="1"/>
  <c r="V8" i="8"/>
  <c r="U8" i="8"/>
  <c r="T8" i="8"/>
  <c r="P8" i="8"/>
  <c r="U7" i="8"/>
  <c r="V7" i="8" s="1"/>
  <c r="T7" i="8"/>
  <c r="R7" i="8"/>
  <c r="P7" i="8"/>
  <c r="Q7" i="8" s="1"/>
  <c r="U6" i="8"/>
  <c r="V6" i="8" s="1"/>
  <c r="T6" i="8"/>
  <c r="P6" i="8"/>
  <c r="N104" i="7"/>
  <c r="M104" i="7"/>
  <c r="J104" i="7"/>
  <c r="I104" i="7"/>
  <c r="L104" i="7" s="1"/>
  <c r="H104" i="7"/>
  <c r="L103" i="7"/>
  <c r="K103" i="7"/>
  <c r="I103" i="7"/>
  <c r="M103" i="7" s="1"/>
  <c r="H103" i="7"/>
  <c r="N103" i="7" s="1"/>
  <c r="N102" i="7"/>
  <c r="M102" i="7"/>
  <c r="J102" i="7"/>
  <c r="I102" i="7"/>
  <c r="L102" i="7" s="1"/>
  <c r="H102" i="7"/>
  <c r="N101" i="7"/>
  <c r="M101" i="7"/>
  <c r="L101" i="7"/>
  <c r="I101" i="7"/>
  <c r="K101" i="7" s="1"/>
  <c r="H101" i="7"/>
  <c r="N100" i="7"/>
  <c r="J100" i="7"/>
  <c r="I100" i="7"/>
  <c r="L100" i="7" s="1"/>
  <c r="H100" i="7"/>
  <c r="M99" i="7"/>
  <c r="L99" i="7"/>
  <c r="K99" i="7"/>
  <c r="I99" i="7"/>
  <c r="J99" i="7" s="1"/>
  <c r="H99" i="7"/>
  <c r="N99" i="7" s="1"/>
  <c r="N98" i="7"/>
  <c r="M98" i="7"/>
  <c r="L98" i="7"/>
  <c r="K98" i="7"/>
  <c r="J98" i="7"/>
  <c r="I98" i="7"/>
  <c r="H98" i="7"/>
  <c r="N97" i="7"/>
  <c r="M97" i="7"/>
  <c r="I97" i="7"/>
  <c r="L97" i="7" s="1"/>
  <c r="H97" i="7"/>
  <c r="M96" i="7"/>
  <c r="I96" i="7"/>
  <c r="H96" i="7"/>
  <c r="N96" i="7" s="1"/>
  <c r="N95" i="7"/>
  <c r="I95" i="7"/>
  <c r="L95" i="7" s="1"/>
  <c r="H95" i="7"/>
  <c r="J94" i="7"/>
  <c r="I94" i="7"/>
  <c r="H94" i="7"/>
  <c r="N94" i="7" s="1"/>
  <c r="N93" i="7"/>
  <c r="M93" i="7"/>
  <c r="I93" i="7"/>
  <c r="L93" i="7" s="1"/>
  <c r="H93" i="7"/>
  <c r="N92" i="7"/>
  <c r="I92" i="7"/>
  <c r="M92" i="7" s="1"/>
  <c r="H92" i="7"/>
  <c r="L91" i="7"/>
  <c r="J91" i="7"/>
  <c r="I91" i="7"/>
  <c r="K91" i="7" s="1"/>
  <c r="H91" i="7"/>
  <c r="N91" i="7" s="1"/>
  <c r="I90" i="7"/>
  <c r="L90" i="7" s="1"/>
  <c r="H90" i="7"/>
  <c r="N90" i="7" s="1"/>
  <c r="N89" i="7"/>
  <c r="K89" i="7"/>
  <c r="J89" i="7"/>
  <c r="I89" i="7"/>
  <c r="M89" i="7" s="1"/>
  <c r="H89" i="7"/>
  <c r="J88" i="7"/>
  <c r="I88" i="7"/>
  <c r="M88" i="7" s="1"/>
  <c r="H88" i="7"/>
  <c r="N88" i="7" s="1"/>
  <c r="N87" i="7"/>
  <c r="M87" i="7"/>
  <c r="L87" i="7"/>
  <c r="K87" i="7"/>
  <c r="I87" i="7"/>
  <c r="J87" i="7" s="1"/>
  <c r="H87" i="7"/>
  <c r="N86" i="7"/>
  <c r="L86" i="7"/>
  <c r="J86" i="7"/>
  <c r="I86" i="7"/>
  <c r="K86" i="7" s="1"/>
  <c r="H86" i="7"/>
  <c r="J85" i="7"/>
  <c r="I85" i="7"/>
  <c r="H85" i="7"/>
  <c r="N85" i="7" s="1"/>
  <c r="M84" i="7"/>
  <c r="K84" i="7"/>
  <c r="J84" i="7"/>
  <c r="I84" i="7"/>
  <c r="L84" i="7" s="1"/>
  <c r="H84" i="7"/>
  <c r="N84" i="7" s="1"/>
  <c r="K83" i="7"/>
  <c r="J83" i="7"/>
  <c r="I83" i="7"/>
  <c r="M83" i="7" s="1"/>
  <c r="H83" i="7"/>
  <c r="N83" i="7" s="1"/>
  <c r="N82" i="7"/>
  <c r="M82" i="7"/>
  <c r="K82" i="7"/>
  <c r="J82" i="7"/>
  <c r="I82" i="7"/>
  <c r="L82" i="7" s="1"/>
  <c r="H82" i="7"/>
  <c r="L81" i="7"/>
  <c r="J81" i="7"/>
  <c r="I81" i="7"/>
  <c r="K81" i="7" s="1"/>
  <c r="H81" i="7"/>
  <c r="N81" i="7" s="1"/>
  <c r="N80" i="7"/>
  <c r="K80" i="7"/>
  <c r="J80" i="7"/>
  <c r="I80" i="7"/>
  <c r="L80" i="7" s="1"/>
  <c r="H80" i="7"/>
  <c r="N79" i="7"/>
  <c r="K79" i="7"/>
  <c r="J79" i="7"/>
  <c r="I79" i="7"/>
  <c r="M79" i="7" s="1"/>
  <c r="H79" i="7"/>
  <c r="N78" i="7"/>
  <c r="M78" i="7"/>
  <c r="L78" i="7"/>
  <c r="K78" i="7"/>
  <c r="J78" i="7"/>
  <c r="I78" i="7"/>
  <c r="H78" i="7"/>
  <c r="N77" i="7"/>
  <c r="I77" i="7"/>
  <c r="M77" i="7" s="1"/>
  <c r="H77" i="7"/>
  <c r="N76" i="7"/>
  <c r="M76" i="7"/>
  <c r="I76" i="7"/>
  <c r="H76" i="7"/>
  <c r="I75" i="7"/>
  <c r="L75" i="7" s="1"/>
  <c r="H75" i="7"/>
  <c r="N75" i="7" s="1"/>
  <c r="N74" i="7"/>
  <c r="K74" i="7"/>
  <c r="J74" i="7"/>
  <c r="I74" i="7"/>
  <c r="H74" i="7"/>
  <c r="I73" i="7"/>
  <c r="M73" i="7" s="1"/>
  <c r="H73" i="7"/>
  <c r="N73" i="7" s="1"/>
  <c r="N72" i="7"/>
  <c r="M72" i="7"/>
  <c r="L72" i="7"/>
  <c r="K72" i="7"/>
  <c r="J72" i="7"/>
  <c r="I72" i="7"/>
  <c r="H72" i="7"/>
  <c r="J71" i="7"/>
  <c r="I71" i="7"/>
  <c r="K71" i="7" s="1"/>
  <c r="H71" i="7"/>
  <c r="N71" i="7" s="1"/>
  <c r="M70" i="7"/>
  <c r="K70" i="7"/>
  <c r="J70" i="7"/>
  <c r="I70" i="7"/>
  <c r="L70" i="7" s="1"/>
  <c r="H70" i="7"/>
  <c r="N70" i="7" s="1"/>
  <c r="N69" i="7"/>
  <c r="J69" i="7"/>
  <c r="I69" i="7"/>
  <c r="M69" i="7" s="1"/>
  <c r="H69" i="7"/>
  <c r="L68" i="7"/>
  <c r="I68" i="7"/>
  <c r="M68" i="7" s="1"/>
  <c r="H68" i="7"/>
  <c r="N68" i="7" s="1"/>
  <c r="N67" i="7"/>
  <c r="M67" i="7"/>
  <c r="L67" i="7"/>
  <c r="K67" i="7"/>
  <c r="I67" i="7"/>
  <c r="J67" i="7" s="1"/>
  <c r="H67" i="7"/>
  <c r="N66" i="7"/>
  <c r="I66" i="7"/>
  <c r="K66" i="7" s="1"/>
  <c r="H66" i="7"/>
  <c r="J65" i="7"/>
  <c r="I65" i="7"/>
  <c r="H65" i="7"/>
  <c r="N65" i="7" s="1"/>
  <c r="M64" i="7"/>
  <c r="I64" i="7"/>
  <c r="L64" i="7" s="1"/>
  <c r="H64" i="7"/>
  <c r="N64" i="7" s="1"/>
  <c r="J63" i="7"/>
  <c r="I63" i="7"/>
  <c r="M63" i="7" s="1"/>
  <c r="H63" i="7"/>
  <c r="N63" i="7" s="1"/>
  <c r="N62" i="7"/>
  <c r="M62" i="7"/>
  <c r="I62" i="7"/>
  <c r="L62" i="7" s="1"/>
  <c r="H62" i="7"/>
  <c r="J61" i="7"/>
  <c r="I61" i="7"/>
  <c r="K61" i="7" s="1"/>
  <c r="H61" i="7"/>
  <c r="N61" i="7" s="1"/>
  <c r="N60" i="7"/>
  <c r="I60" i="7"/>
  <c r="L60" i="7" s="1"/>
  <c r="H60" i="7"/>
  <c r="J59" i="7"/>
  <c r="I59" i="7"/>
  <c r="M59" i="7" s="1"/>
  <c r="H59" i="7"/>
  <c r="N59" i="7" s="1"/>
  <c r="N58" i="7"/>
  <c r="M58" i="7"/>
  <c r="L58" i="7"/>
  <c r="K58" i="7"/>
  <c r="J58" i="7"/>
  <c r="I58" i="7"/>
  <c r="H58" i="7"/>
  <c r="N57" i="7"/>
  <c r="M57" i="7"/>
  <c r="L57" i="7"/>
  <c r="K57" i="7"/>
  <c r="J57" i="7"/>
  <c r="I57" i="7"/>
  <c r="H57" i="7"/>
  <c r="I56" i="7"/>
  <c r="M56" i="7" s="1"/>
  <c r="H56" i="7"/>
  <c r="N56" i="7" s="1"/>
  <c r="N55" i="7"/>
  <c r="M55" i="7"/>
  <c r="K55" i="7"/>
  <c r="J55" i="7"/>
  <c r="I55" i="7"/>
  <c r="L55" i="7" s="1"/>
  <c r="H55" i="7"/>
  <c r="I54" i="7"/>
  <c r="J54" i="7" s="1"/>
  <c r="H54" i="7"/>
  <c r="M53" i="7"/>
  <c r="J53" i="7"/>
  <c r="I53" i="7"/>
  <c r="H53" i="7"/>
  <c r="M52" i="7"/>
  <c r="I52" i="7"/>
  <c r="H52" i="7"/>
  <c r="M51" i="7"/>
  <c r="J51" i="7"/>
  <c r="I51" i="7"/>
  <c r="H51" i="7"/>
  <c r="I50" i="7"/>
  <c r="J50" i="7" s="1"/>
  <c r="H50" i="7"/>
  <c r="M49" i="7"/>
  <c r="J49" i="7"/>
  <c r="I49" i="7"/>
  <c r="H49" i="7"/>
  <c r="J48" i="7"/>
  <c r="I48" i="7"/>
  <c r="M48" i="7" s="1"/>
  <c r="H48" i="7"/>
  <c r="M47" i="7"/>
  <c r="I47" i="7"/>
  <c r="J47" i="7" s="1"/>
  <c r="H47" i="7"/>
  <c r="M46" i="7"/>
  <c r="J46" i="7"/>
  <c r="I46" i="7"/>
  <c r="H46" i="7"/>
  <c r="J45" i="7"/>
  <c r="I45" i="7"/>
  <c r="H45" i="7"/>
  <c r="M44" i="7"/>
  <c r="J44" i="7"/>
  <c r="I44" i="7"/>
  <c r="H44" i="7"/>
  <c r="J43" i="7"/>
  <c r="I43" i="7"/>
  <c r="M43" i="7" s="1"/>
  <c r="H43" i="7"/>
  <c r="M42" i="7"/>
  <c r="J42" i="7"/>
  <c r="I42" i="7"/>
  <c r="H42" i="7"/>
  <c r="M41" i="7"/>
  <c r="J41" i="7"/>
  <c r="I41" i="7"/>
  <c r="H41" i="7"/>
  <c r="M40" i="7"/>
  <c r="J40" i="7"/>
  <c r="I40" i="7"/>
  <c r="H40" i="7"/>
  <c r="M39" i="7"/>
  <c r="J39" i="7"/>
  <c r="I39" i="7"/>
  <c r="H39" i="7"/>
  <c r="M38" i="7"/>
  <c r="J38" i="7"/>
  <c r="I38" i="7"/>
  <c r="H38" i="7"/>
  <c r="M37" i="7"/>
  <c r="I37" i="7"/>
  <c r="H37" i="7"/>
  <c r="M36" i="7"/>
  <c r="I36" i="7"/>
  <c r="H36" i="7"/>
  <c r="M35" i="7"/>
  <c r="I35" i="7"/>
  <c r="H35" i="7"/>
  <c r="J34" i="7"/>
  <c r="I34" i="7"/>
  <c r="H34" i="7"/>
  <c r="M33" i="7"/>
  <c r="I33" i="7"/>
  <c r="H33" i="7"/>
  <c r="M32" i="7"/>
  <c r="I32" i="7"/>
  <c r="J32" i="7" s="1"/>
  <c r="H32" i="7"/>
  <c r="I31" i="7"/>
  <c r="M31" i="7" s="1"/>
  <c r="H31" i="7"/>
  <c r="I30" i="7"/>
  <c r="H30" i="7"/>
  <c r="I29" i="7"/>
  <c r="H29" i="7"/>
  <c r="J28" i="7"/>
  <c r="I28" i="7"/>
  <c r="M28" i="7" s="1"/>
  <c r="H28" i="7"/>
  <c r="I27" i="7"/>
  <c r="H27" i="7"/>
  <c r="I26" i="7"/>
  <c r="H26" i="7"/>
  <c r="J25" i="7"/>
  <c r="I25" i="7"/>
  <c r="H25" i="7"/>
  <c r="M24" i="7"/>
  <c r="J24" i="7"/>
  <c r="I24" i="7"/>
  <c r="H24" i="7"/>
  <c r="I23" i="7"/>
  <c r="H23" i="7"/>
  <c r="M22" i="7"/>
  <c r="J22" i="7"/>
  <c r="I22" i="7"/>
  <c r="H22" i="7"/>
  <c r="M21" i="7"/>
  <c r="J21" i="7"/>
  <c r="I21" i="7"/>
  <c r="H21" i="7"/>
  <c r="M20" i="7"/>
  <c r="K20" i="7"/>
  <c r="J20" i="7"/>
  <c r="I20" i="7"/>
  <c r="H20" i="7"/>
  <c r="M19" i="7"/>
  <c r="I19" i="7"/>
  <c r="J19" i="7" s="1"/>
  <c r="H19" i="7"/>
  <c r="M18" i="7"/>
  <c r="J18" i="7"/>
  <c r="I18" i="7"/>
  <c r="H18" i="7"/>
  <c r="M17" i="7"/>
  <c r="I17" i="7"/>
  <c r="J17" i="7" s="1"/>
  <c r="H17" i="7"/>
  <c r="M16" i="7"/>
  <c r="I16" i="7"/>
  <c r="H16" i="7"/>
  <c r="J15" i="7"/>
  <c r="I15" i="7"/>
  <c r="H15" i="7"/>
  <c r="I14" i="7"/>
  <c r="H14" i="7"/>
  <c r="M13" i="7"/>
  <c r="I13" i="7"/>
  <c r="H13" i="7"/>
  <c r="M12" i="7"/>
  <c r="J12" i="7"/>
  <c r="I12" i="7"/>
  <c r="H12" i="7"/>
  <c r="I11" i="7"/>
  <c r="H11" i="7"/>
  <c r="M10" i="7"/>
  <c r="I10" i="7"/>
  <c r="H10" i="7"/>
  <c r="I9" i="7"/>
  <c r="H9" i="7"/>
  <c r="I8" i="7"/>
  <c r="M8" i="7" s="1"/>
  <c r="H8" i="7"/>
  <c r="K7" i="7"/>
  <c r="J7" i="7"/>
  <c r="I7" i="7"/>
  <c r="H7" i="7"/>
  <c r="M6" i="7"/>
  <c r="I6" i="7"/>
  <c r="H6" i="7"/>
  <c r="M5" i="7"/>
  <c r="J5" i="7"/>
  <c r="I5" i="7"/>
  <c r="H5" i="7"/>
  <c r="K52" i="6"/>
  <c r="I52" i="6"/>
  <c r="H52" i="6"/>
  <c r="J52" i="6" s="1"/>
  <c r="D52" i="6"/>
  <c r="K51" i="6"/>
  <c r="I51" i="6"/>
  <c r="H51" i="6"/>
  <c r="J51" i="6" s="1"/>
  <c r="D51" i="6"/>
  <c r="K50" i="6"/>
  <c r="I50" i="6"/>
  <c r="J50" i="6" s="1"/>
  <c r="H50" i="6"/>
  <c r="D50" i="6"/>
  <c r="K49" i="6"/>
  <c r="J49" i="6"/>
  <c r="I49" i="6"/>
  <c r="H49" i="6"/>
  <c r="D49" i="6"/>
  <c r="K48" i="6"/>
  <c r="I48" i="6"/>
  <c r="H48" i="6"/>
  <c r="J48" i="6" s="1"/>
  <c r="D48" i="6"/>
  <c r="K47" i="6"/>
  <c r="J47" i="6"/>
  <c r="I47" i="6"/>
  <c r="H47" i="6"/>
  <c r="D47" i="6"/>
  <c r="K46" i="6"/>
  <c r="I46" i="6"/>
  <c r="H46" i="6"/>
  <c r="J46" i="6" s="1"/>
  <c r="E46" i="6"/>
  <c r="D46" i="6"/>
  <c r="K45" i="6"/>
  <c r="I45" i="6"/>
  <c r="H45" i="6"/>
  <c r="J45" i="6" s="1"/>
  <c r="D45" i="6"/>
  <c r="K44" i="6"/>
  <c r="I44" i="6"/>
  <c r="H44" i="6"/>
  <c r="J44" i="6" s="1"/>
  <c r="G44" i="6"/>
  <c r="D44" i="6"/>
  <c r="K43" i="6"/>
  <c r="I43" i="6"/>
  <c r="H43" i="6"/>
  <c r="J43" i="6" s="1"/>
  <c r="G43" i="6"/>
  <c r="D43" i="6"/>
  <c r="K42" i="6"/>
  <c r="I42" i="6"/>
  <c r="H42" i="6"/>
  <c r="J42" i="6" s="1"/>
  <c r="D42" i="6"/>
  <c r="K41" i="6"/>
  <c r="J41" i="6"/>
  <c r="I41" i="6"/>
  <c r="H41" i="6"/>
  <c r="D41" i="6"/>
  <c r="K40" i="6"/>
  <c r="I40" i="6"/>
  <c r="J40" i="6" s="1"/>
  <c r="H40" i="6"/>
  <c r="D40" i="6"/>
  <c r="K39" i="6"/>
  <c r="I39" i="6"/>
  <c r="H39" i="6"/>
  <c r="J39" i="6" s="1"/>
  <c r="D39" i="6"/>
  <c r="K38" i="6"/>
  <c r="I38" i="6"/>
  <c r="H38" i="6"/>
  <c r="D38" i="6"/>
  <c r="K37" i="6"/>
  <c r="I37" i="6"/>
  <c r="H37" i="6"/>
  <c r="J37" i="6" s="1"/>
  <c r="F37" i="6"/>
  <c r="D37" i="6"/>
  <c r="K36" i="6"/>
  <c r="I36" i="6"/>
  <c r="H36" i="6"/>
  <c r="J36" i="6" s="1"/>
  <c r="D36" i="6"/>
  <c r="K35" i="6"/>
  <c r="I35" i="6"/>
  <c r="H35" i="6"/>
  <c r="J35" i="6" s="1"/>
  <c r="D35" i="6"/>
  <c r="K34" i="6"/>
  <c r="I34" i="6"/>
  <c r="J34" i="6" s="1"/>
  <c r="H34" i="6"/>
  <c r="D34" i="6"/>
  <c r="K33" i="6"/>
  <c r="I33" i="6"/>
  <c r="H33" i="6"/>
  <c r="G33" i="6"/>
  <c r="F33" i="6"/>
  <c r="D33" i="6"/>
  <c r="K32" i="6"/>
  <c r="J32" i="6"/>
  <c r="I32" i="6"/>
  <c r="H32" i="6"/>
  <c r="D32" i="6"/>
  <c r="K31" i="6"/>
  <c r="I31" i="6"/>
  <c r="H31" i="6"/>
  <c r="J31" i="6" s="1"/>
  <c r="G31" i="6"/>
  <c r="E31" i="6"/>
  <c r="D31" i="6"/>
  <c r="K30" i="6"/>
  <c r="J30" i="6"/>
  <c r="I30" i="6"/>
  <c r="H30" i="6"/>
  <c r="E30" i="6"/>
  <c r="D30" i="6"/>
  <c r="K29" i="6"/>
  <c r="I29" i="6"/>
  <c r="H29" i="6"/>
  <c r="J29" i="6" s="1"/>
  <c r="D29" i="6"/>
  <c r="K28" i="6"/>
  <c r="I28" i="6"/>
  <c r="H28" i="6"/>
  <c r="J28" i="6" s="1"/>
  <c r="D28" i="6"/>
  <c r="K27" i="6"/>
  <c r="J27" i="6"/>
  <c r="I27" i="6"/>
  <c r="H27" i="6"/>
  <c r="D27" i="6"/>
  <c r="K26" i="6"/>
  <c r="J26" i="6"/>
  <c r="I26" i="6"/>
  <c r="H26" i="6"/>
  <c r="E26" i="6"/>
  <c r="D26" i="6"/>
  <c r="K25" i="6"/>
  <c r="I25" i="6"/>
  <c r="H25" i="6"/>
  <c r="J25" i="6" s="1"/>
  <c r="G25" i="6"/>
  <c r="E25" i="6"/>
  <c r="D25" i="6"/>
  <c r="K24" i="6"/>
  <c r="I24" i="6"/>
  <c r="H24" i="6"/>
  <c r="J24" i="6" s="1"/>
  <c r="F24" i="6"/>
  <c r="D24" i="6"/>
  <c r="K23" i="6"/>
  <c r="I23" i="6"/>
  <c r="H23" i="6"/>
  <c r="J23" i="6" s="1"/>
  <c r="F23" i="6"/>
  <c r="D23" i="6"/>
  <c r="K22" i="6"/>
  <c r="I22" i="6"/>
  <c r="H22" i="6"/>
  <c r="J22" i="6" s="1"/>
  <c r="D22" i="6"/>
  <c r="K21" i="6"/>
  <c r="I21" i="6"/>
  <c r="H21" i="6"/>
  <c r="J21" i="6" s="1"/>
  <c r="D21" i="6"/>
  <c r="K20" i="6"/>
  <c r="J20" i="6"/>
  <c r="I20" i="6"/>
  <c r="H20" i="6"/>
  <c r="D20" i="6"/>
  <c r="K19" i="6"/>
  <c r="J19" i="6"/>
  <c r="I19" i="6"/>
  <c r="H19" i="6"/>
  <c r="D19" i="6"/>
  <c r="K18" i="6"/>
  <c r="I18" i="6"/>
  <c r="H18" i="6"/>
  <c r="J18" i="6" s="1"/>
  <c r="D18" i="6"/>
  <c r="K17" i="6"/>
  <c r="I17" i="6"/>
  <c r="H17" i="6"/>
  <c r="D17" i="6"/>
  <c r="K16" i="6"/>
  <c r="I16" i="6"/>
  <c r="H16" i="6"/>
  <c r="J16" i="6" s="1"/>
  <c r="G16" i="6"/>
  <c r="D16" i="6"/>
  <c r="K15" i="6"/>
  <c r="I15" i="6"/>
  <c r="H15" i="6"/>
  <c r="D15" i="6"/>
  <c r="K14" i="6"/>
  <c r="I14" i="6"/>
  <c r="H14" i="6"/>
  <c r="J14" i="6" s="1"/>
  <c r="D14" i="6"/>
  <c r="K13" i="6"/>
  <c r="I13" i="6"/>
  <c r="H13" i="6"/>
  <c r="J13" i="6" s="1"/>
  <c r="D13" i="6"/>
  <c r="K12" i="6"/>
  <c r="J12" i="6"/>
  <c r="I12" i="6"/>
  <c r="H12" i="6"/>
  <c r="G12" i="6"/>
  <c r="F12" i="6"/>
  <c r="D12" i="6"/>
  <c r="K11" i="6"/>
  <c r="J11" i="6"/>
  <c r="I11" i="6"/>
  <c r="H11" i="6"/>
  <c r="D11" i="6"/>
  <c r="K10" i="6"/>
  <c r="I10" i="6"/>
  <c r="J10" i="6" s="1"/>
  <c r="H10" i="6"/>
  <c r="D10" i="6"/>
  <c r="K9" i="6"/>
  <c r="I9" i="6"/>
  <c r="J9" i="6" s="1"/>
  <c r="H9" i="6"/>
  <c r="D9" i="6"/>
  <c r="K8" i="6"/>
  <c r="I8" i="6"/>
  <c r="H8" i="6"/>
  <c r="J8" i="6" s="1"/>
  <c r="D8" i="6"/>
  <c r="K7" i="6"/>
  <c r="J7" i="6"/>
  <c r="I7" i="6"/>
  <c r="H7" i="6"/>
  <c r="D7" i="6"/>
  <c r="K6" i="6"/>
  <c r="I6" i="6"/>
  <c r="J6" i="6" s="1"/>
  <c r="H6" i="6"/>
  <c r="D6" i="6"/>
  <c r="K5" i="6"/>
  <c r="I5" i="6"/>
  <c r="H5" i="6"/>
  <c r="J5" i="6" s="1"/>
  <c r="G5" i="6"/>
  <c r="E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G46" i="6" s="1"/>
  <c r="I76" i="5"/>
  <c r="H76" i="5"/>
  <c r="K75" i="5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L33" i="7" s="1"/>
  <c r="J71" i="5"/>
  <c r="I71" i="5"/>
  <c r="H71" i="5"/>
  <c r="K70" i="5"/>
  <c r="J70" i="5"/>
  <c r="I70" i="5"/>
  <c r="H70" i="5"/>
  <c r="K69" i="5"/>
  <c r="J69" i="5"/>
  <c r="I69" i="5"/>
  <c r="H69" i="5"/>
  <c r="K68" i="5"/>
  <c r="J68" i="5"/>
  <c r="I68" i="5"/>
  <c r="H68" i="5"/>
  <c r="K67" i="5"/>
  <c r="J67" i="5"/>
  <c r="G30" i="6" s="1"/>
  <c r="I67" i="5"/>
  <c r="H67" i="5"/>
  <c r="K66" i="5"/>
  <c r="J66" i="5"/>
  <c r="G38" i="6" s="1"/>
  <c r="I66" i="5"/>
  <c r="H66" i="5"/>
  <c r="K65" i="5"/>
  <c r="K34" i="7" s="1"/>
  <c r="J65" i="5"/>
  <c r="I65" i="5"/>
  <c r="H65" i="5"/>
  <c r="K64" i="5"/>
  <c r="J64" i="5"/>
  <c r="I64" i="5"/>
  <c r="H64" i="5"/>
  <c r="K63" i="5"/>
  <c r="J63" i="5"/>
  <c r="F20" i="6" s="1"/>
  <c r="I63" i="5"/>
  <c r="H63" i="5"/>
  <c r="K62" i="5"/>
  <c r="J62" i="5"/>
  <c r="I62" i="5"/>
  <c r="H62" i="5"/>
  <c r="K61" i="5"/>
  <c r="J61" i="5"/>
  <c r="G26" i="6" s="1"/>
  <c r="I61" i="5"/>
  <c r="H61" i="5"/>
  <c r="K60" i="5"/>
  <c r="J60" i="5"/>
  <c r="I60" i="5"/>
  <c r="H60" i="5"/>
  <c r="K59" i="5"/>
  <c r="J59" i="5"/>
  <c r="I59" i="5"/>
  <c r="H59" i="5"/>
  <c r="K58" i="5"/>
  <c r="J58" i="5"/>
  <c r="G6" i="6" s="1"/>
  <c r="I58" i="5"/>
  <c r="H58" i="5"/>
  <c r="K57" i="5"/>
  <c r="J57" i="5"/>
  <c r="I57" i="5"/>
  <c r="H57" i="5"/>
  <c r="K56" i="5"/>
  <c r="J56" i="5"/>
  <c r="K25" i="7" s="1"/>
  <c r="I56" i="5"/>
  <c r="H56" i="5"/>
  <c r="K55" i="5"/>
  <c r="F9" i="6" s="1"/>
  <c r="J55" i="5"/>
  <c r="I55" i="5"/>
  <c r="H55" i="5"/>
  <c r="K54" i="5"/>
  <c r="G15" i="6" s="1"/>
  <c r="J54" i="5"/>
  <c r="I54" i="5"/>
  <c r="H54" i="5"/>
  <c r="K53" i="5"/>
  <c r="J53" i="5"/>
  <c r="E16" i="6" s="1"/>
  <c r="I53" i="5"/>
  <c r="H53" i="5"/>
  <c r="K52" i="5"/>
  <c r="J52" i="5"/>
  <c r="L32" i="7" s="1"/>
  <c r="I52" i="5"/>
  <c r="H52" i="5"/>
  <c r="K51" i="5"/>
  <c r="J51" i="5"/>
  <c r="I51" i="5"/>
  <c r="H51" i="5"/>
  <c r="K50" i="5"/>
  <c r="J50" i="5"/>
  <c r="G52" i="6" s="1"/>
  <c r="I50" i="5"/>
  <c r="H50" i="5"/>
  <c r="K49" i="5"/>
  <c r="G51" i="6" s="1"/>
  <c r="J49" i="5"/>
  <c r="I49" i="5"/>
  <c r="H49" i="5"/>
  <c r="K48" i="5"/>
  <c r="J48" i="5"/>
  <c r="L17" i="7" s="1"/>
  <c r="I48" i="5"/>
  <c r="H48" i="5"/>
  <c r="K47" i="5"/>
  <c r="J47" i="5"/>
  <c r="I47" i="5"/>
  <c r="H47" i="5"/>
  <c r="K46" i="5"/>
  <c r="E39" i="6" s="1"/>
  <c r="J46" i="5"/>
  <c r="I46" i="5"/>
  <c r="H46" i="5"/>
  <c r="K45" i="5"/>
  <c r="J45" i="5"/>
  <c r="G40" i="6" s="1"/>
  <c r="I45" i="5"/>
  <c r="H45" i="5"/>
  <c r="K44" i="5"/>
  <c r="J44" i="5"/>
  <c r="I44" i="5"/>
  <c r="H44" i="5"/>
  <c r="K43" i="5"/>
  <c r="J43" i="5"/>
  <c r="G29" i="6" s="1"/>
  <c r="I43" i="5"/>
  <c r="H43" i="5"/>
  <c r="K42" i="5"/>
  <c r="J42" i="5"/>
  <c r="I42" i="5"/>
  <c r="H42" i="5"/>
  <c r="K41" i="5"/>
  <c r="E34" i="6" s="1"/>
  <c r="J41" i="5"/>
  <c r="G36" i="6" s="1"/>
  <c r="I41" i="5"/>
  <c r="H41" i="5"/>
  <c r="K40" i="5"/>
  <c r="J40" i="5"/>
  <c r="I40" i="5"/>
  <c r="H40" i="5"/>
  <c r="K39" i="5"/>
  <c r="J39" i="5"/>
  <c r="I39" i="5"/>
  <c r="H39" i="5"/>
  <c r="K38" i="5"/>
  <c r="J38" i="5"/>
  <c r="L21" i="7" s="1"/>
  <c r="I38" i="5"/>
  <c r="H38" i="5"/>
  <c r="K37" i="5"/>
  <c r="J37" i="5"/>
  <c r="I37" i="5"/>
  <c r="H37" i="5"/>
  <c r="K36" i="5"/>
  <c r="E19" i="6" s="1"/>
  <c r="J36" i="5"/>
  <c r="I36" i="5"/>
  <c r="H36" i="5"/>
  <c r="K35" i="5"/>
  <c r="E18" i="6" s="1"/>
  <c r="J35" i="5"/>
  <c r="G20" i="6" s="1"/>
  <c r="I35" i="5"/>
  <c r="H35" i="5"/>
  <c r="K34" i="5"/>
  <c r="J34" i="5"/>
  <c r="I34" i="5"/>
  <c r="H34" i="5"/>
  <c r="K33" i="5"/>
  <c r="J33" i="5"/>
  <c r="I33" i="5"/>
  <c r="H33" i="5"/>
  <c r="K32" i="5"/>
  <c r="G7" i="6" s="1"/>
  <c r="J32" i="5"/>
  <c r="F5" i="6" s="1"/>
  <c r="I32" i="5"/>
  <c r="H32" i="5"/>
  <c r="K31" i="5"/>
  <c r="J31" i="5"/>
  <c r="I31" i="5"/>
  <c r="H31" i="5"/>
  <c r="K30" i="5"/>
  <c r="G10" i="6" s="1"/>
  <c r="J30" i="5"/>
  <c r="I30" i="5"/>
  <c r="H30" i="5"/>
  <c r="K29" i="5"/>
  <c r="J29" i="5"/>
  <c r="I29" i="5"/>
  <c r="H29" i="5"/>
  <c r="K28" i="5"/>
  <c r="J28" i="5"/>
  <c r="F47" i="6" s="1"/>
  <c r="I28" i="5"/>
  <c r="H28" i="5"/>
  <c r="K27" i="5"/>
  <c r="J27" i="5"/>
  <c r="I27" i="5"/>
  <c r="H27" i="5"/>
  <c r="K26" i="5"/>
  <c r="L37" i="7" s="1"/>
  <c r="J26" i="5"/>
  <c r="G49" i="6" s="1"/>
  <c r="I26" i="5"/>
  <c r="H26" i="5"/>
  <c r="K25" i="5"/>
  <c r="L18" i="7" s="1"/>
  <c r="J25" i="5"/>
  <c r="I25" i="5"/>
  <c r="H25" i="5"/>
  <c r="K24" i="5"/>
  <c r="J24" i="5"/>
  <c r="E43" i="6" s="1"/>
  <c r="I24" i="5"/>
  <c r="H24" i="5"/>
  <c r="K23" i="5"/>
  <c r="J23" i="5"/>
  <c r="G41" i="6" s="1"/>
  <c r="I23" i="5"/>
  <c r="H23" i="5"/>
  <c r="K22" i="5"/>
  <c r="J22" i="5"/>
  <c r="G39" i="6" s="1"/>
  <c r="I22" i="5"/>
  <c r="H22" i="5"/>
  <c r="K21" i="5"/>
  <c r="F38" i="6" s="1"/>
  <c r="J21" i="5"/>
  <c r="G37" i="6" s="1"/>
  <c r="I21" i="5"/>
  <c r="H21" i="5"/>
  <c r="K20" i="5"/>
  <c r="F30" i="6" s="1"/>
  <c r="J20" i="5"/>
  <c r="F29" i="6" s="1"/>
  <c r="I20" i="5"/>
  <c r="H20" i="5"/>
  <c r="K19" i="5"/>
  <c r="J19" i="5"/>
  <c r="F31" i="6" s="1"/>
  <c r="I19" i="5"/>
  <c r="H19" i="5"/>
  <c r="K18" i="5"/>
  <c r="J18" i="5"/>
  <c r="E33" i="6" s="1"/>
  <c r="I18" i="5"/>
  <c r="H18" i="5"/>
  <c r="K17" i="5"/>
  <c r="J17" i="5"/>
  <c r="I17" i="5"/>
  <c r="H17" i="5"/>
  <c r="K16" i="5"/>
  <c r="J16" i="5"/>
  <c r="G27" i="6" s="1"/>
  <c r="I16" i="5"/>
  <c r="H16" i="5"/>
  <c r="K15" i="5"/>
  <c r="L19" i="7" s="1"/>
  <c r="J15" i="5"/>
  <c r="K28" i="7" s="1"/>
  <c r="I15" i="5"/>
  <c r="H15" i="5"/>
  <c r="K14" i="5"/>
  <c r="F22" i="6" s="1"/>
  <c r="J14" i="5"/>
  <c r="K47" i="7" s="1"/>
  <c r="I14" i="5"/>
  <c r="H14" i="5"/>
  <c r="K13" i="5"/>
  <c r="J13" i="5"/>
  <c r="G23" i="6" s="1"/>
  <c r="I13" i="5"/>
  <c r="H13" i="5"/>
  <c r="K12" i="5"/>
  <c r="E12" i="6" s="1"/>
  <c r="J12" i="5"/>
  <c r="L49" i="7" s="1"/>
  <c r="I12" i="5"/>
  <c r="H12" i="5"/>
  <c r="K11" i="5"/>
  <c r="G14" i="6" s="1"/>
  <c r="J11" i="5"/>
  <c r="G13" i="6" s="1"/>
  <c r="I11" i="5"/>
  <c r="H11" i="5"/>
  <c r="K10" i="5"/>
  <c r="J10" i="5"/>
  <c r="I10" i="5"/>
  <c r="H10" i="5"/>
  <c r="K9" i="5"/>
  <c r="K8" i="7" s="1"/>
  <c r="J9" i="5"/>
  <c r="I9" i="5"/>
  <c r="H9" i="5"/>
  <c r="K8" i="5"/>
  <c r="J8" i="5"/>
  <c r="F17" i="6" s="1"/>
  <c r="I8" i="5"/>
  <c r="H8" i="5"/>
  <c r="K7" i="5"/>
  <c r="E10" i="6" s="1"/>
  <c r="J7" i="5"/>
  <c r="G9" i="6" s="1"/>
  <c r="I7" i="5"/>
  <c r="H7" i="5"/>
  <c r="K6" i="5"/>
  <c r="J6" i="5"/>
  <c r="I6" i="5"/>
  <c r="H6" i="5"/>
  <c r="K5" i="5"/>
  <c r="J5" i="5"/>
  <c r="L24" i="7" s="1"/>
  <c r="I5" i="5"/>
  <c r="H5" i="5"/>
  <c r="R43" i="8" l="1"/>
  <c r="R101" i="8"/>
  <c r="R269" i="8"/>
  <c r="Q9" i="8"/>
  <c r="Q129" i="8"/>
  <c r="S181" i="8"/>
  <c r="Q239" i="8"/>
  <c r="R179" i="8"/>
  <c r="Q299" i="8"/>
  <c r="R40" i="8"/>
  <c r="Q47" i="8"/>
  <c r="R50" i="8"/>
  <c r="R54" i="8"/>
  <c r="S101" i="8"/>
  <c r="R141" i="8"/>
  <c r="R299" i="8"/>
  <c r="S40" i="8"/>
  <c r="R47" i="8"/>
  <c r="S54" i="8"/>
  <c r="S141" i="8"/>
  <c r="R154" i="8"/>
  <c r="S22" i="8"/>
  <c r="S27" i="8"/>
  <c r="R76" i="8"/>
  <c r="R129" i="8"/>
  <c r="Q169" i="8"/>
  <c r="Q209" i="8"/>
  <c r="R239" i="8"/>
  <c r="R301" i="8"/>
  <c r="Q269" i="8"/>
  <c r="R48" i="8"/>
  <c r="R60" i="8"/>
  <c r="R259" i="8"/>
  <c r="S15" i="8"/>
  <c r="R19" i="8"/>
  <c r="R23" i="8"/>
  <c r="S48" i="8"/>
  <c r="R90" i="8"/>
  <c r="Q304" i="8"/>
  <c r="Q75" i="8"/>
  <c r="R13" i="8"/>
  <c r="S43" i="8"/>
  <c r="R284" i="8"/>
  <c r="S13" i="8"/>
  <c r="R17" i="8"/>
  <c r="Q119" i="8"/>
  <c r="R41" i="8"/>
  <c r="Q60" i="8"/>
  <c r="R119" i="8"/>
  <c r="S28" i="8"/>
  <c r="R33" i="8"/>
  <c r="Q229" i="8"/>
  <c r="R304" i="8"/>
  <c r="Q8" i="8"/>
  <c r="R75" i="8"/>
  <c r="Q179" i="8"/>
  <c r="R206" i="8"/>
  <c r="S31" i="8"/>
  <c r="Q50" i="8"/>
  <c r="S206" i="8"/>
  <c r="R156" i="8"/>
  <c r="R274" i="8"/>
  <c r="R302" i="8"/>
  <c r="S156" i="8"/>
  <c r="Q259" i="8"/>
  <c r="Q19" i="8"/>
  <c r="Q23" i="8"/>
  <c r="S33" i="8"/>
  <c r="Q52" i="8"/>
  <c r="R229" i="8"/>
  <c r="R31" i="8"/>
  <c r="Q16" i="8"/>
  <c r="R24" i="8"/>
  <c r="Q49" i="8"/>
  <c r="R65" i="8"/>
  <c r="R136" i="8"/>
  <c r="Q149" i="8"/>
  <c r="R176" i="8"/>
  <c r="Q294" i="8"/>
  <c r="Q12" i="8"/>
  <c r="R16" i="8"/>
  <c r="R49" i="8"/>
  <c r="S136" i="8"/>
  <c r="R149" i="8"/>
  <c r="S176" i="8"/>
  <c r="R294" i="8"/>
  <c r="R66" i="8"/>
  <c r="Q114" i="8"/>
  <c r="R191" i="8"/>
  <c r="W13" i="8"/>
  <c r="W26" i="8"/>
  <c r="W50" i="8"/>
  <c r="F19" i="6"/>
  <c r="F28" i="6"/>
  <c r="G22" i="6"/>
  <c r="E47" i="6"/>
  <c r="K19" i="7"/>
  <c r="L23" i="7"/>
  <c r="K23" i="7"/>
  <c r="J23" i="7"/>
  <c r="E9" i="6"/>
  <c r="L12" i="7"/>
  <c r="M23" i="7"/>
  <c r="L16" i="7"/>
  <c r="K32" i="7"/>
  <c r="E6" i="6"/>
  <c r="K33" i="7"/>
  <c r="L51" i="7"/>
  <c r="F35" i="6"/>
  <c r="E35" i="6"/>
  <c r="G45" i="6"/>
  <c r="F45" i="6"/>
  <c r="G28" i="6"/>
  <c r="F50" i="6"/>
  <c r="E50" i="6"/>
  <c r="M9" i="7"/>
  <c r="L9" i="7"/>
  <c r="K9" i="7"/>
  <c r="L13" i="7"/>
  <c r="W36" i="8"/>
  <c r="E40" i="6"/>
  <c r="K38" i="7"/>
  <c r="E7" i="6"/>
  <c r="J9" i="7"/>
  <c r="N9" i="7" s="1"/>
  <c r="E20" i="6"/>
  <c r="F11" i="6"/>
  <c r="G11" i="6"/>
  <c r="K49" i="7"/>
  <c r="G48" i="6"/>
  <c r="F48" i="6"/>
  <c r="E48" i="6"/>
  <c r="L41" i="7"/>
  <c r="W27" i="8"/>
  <c r="L53" i="7"/>
  <c r="E17" i="6"/>
  <c r="F7" i="6"/>
  <c r="F10" i="6"/>
  <c r="E45" i="6"/>
  <c r="W10" i="8"/>
  <c r="K37" i="7"/>
  <c r="J17" i="6"/>
  <c r="E38" i="6"/>
  <c r="G17" i="6"/>
  <c r="K43" i="7"/>
  <c r="E23" i="6"/>
  <c r="F41" i="6"/>
  <c r="E41" i="6"/>
  <c r="K42" i="7"/>
  <c r="L42" i="7"/>
  <c r="G47" i="6"/>
  <c r="K17" i="7"/>
  <c r="F44" i="6"/>
  <c r="E44" i="6"/>
  <c r="F6" i="6"/>
  <c r="K39" i="7"/>
  <c r="G42" i="6"/>
  <c r="F42" i="6"/>
  <c r="E42" i="6"/>
  <c r="E24" i="6"/>
  <c r="M14" i="7"/>
  <c r="L14" i="7"/>
  <c r="K14" i="7"/>
  <c r="J14" i="7"/>
  <c r="K21" i="7"/>
  <c r="K5" i="7"/>
  <c r="M26" i="7"/>
  <c r="L26" i="7"/>
  <c r="K26" i="7"/>
  <c r="J26" i="7"/>
  <c r="L52" i="7"/>
  <c r="W15" i="8"/>
  <c r="W48" i="8"/>
  <c r="W49" i="8"/>
  <c r="W39" i="8"/>
  <c r="W54" i="8"/>
  <c r="W43" i="8"/>
  <c r="W19" i="8"/>
  <c r="W40" i="8"/>
  <c r="W6" i="8"/>
  <c r="W35" i="8"/>
  <c r="W32" i="8"/>
  <c r="G24" i="6"/>
  <c r="K18" i="7"/>
  <c r="K44" i="7"/>
  <c r="L44" i="7"/>
  <c r="F15" i="6"/>
  <c r="E15" i="6"/>
  <c r="F21" i="6"/>
  <c r="G21" i="6"/>
  <c r="E21" i="6"/>
  <c r="L47" i="7"/>
  <c r="F8" i="6"/>
  <c r="E8" i="6"/>
  <c r="F16" i="6"/>
  <c r="G32" i="6"/>
  <c r="F32" i="6"/>
  <c r="E32" i="6"/>
  <c r="K40" i="7"/>
  <c r="F49" i="6"/>
  <c r="F14" i="6"/>
  <c r="E14" i="6"/>
  <c r="E22" i="6"/>
  <c r="G18" i="6"/>
  <c r="G34" i="6"/>
  <c r="F34" i="6"/>
  <c r="G8" i="6"/>
  <c r="E11" i="6"/>
  <c r="F18" i="6"/>
  <c r="E28" i="6"/>
  <c r="G35" i="6"/>
  <c r="G50" i="6"/>
  <c r="L6" i="7"/>
  <c r="K6" i="7"/>
  <c r="J6" i="7"/>
  <c r="L22" i="7"/>
  <c r="K22" i="7"/>
  <c r="W29" i="8"/>
  <c r="W38" i="8"/>
  <c r="G19" i="6"/>
  <c r="L46" i="7"/>
  <c r="F27" i="6"/>
  <c r="M27" i="7"/>
  <c r="L27" i="7"/>
  <c r="K27" i="7"/>
  <c r="J27" i="7"/>
  <c r="L43" i="7"/>
  <c r="W24" i="8"/>
  <c r="W33" i="8"/>
  <c r="F39" i="6"/>
  <c r="L39" i="7"/>
  <c r="W7" i="8"/>
  <c r="W42" i="8"/>
  <c r="M11" i="7"/>
  <c r="L11" i="7"/>
  <c r="K11" i="7"/>
  <c r="J11" i="7"/>
  <c r="N11" i="7" s="1"/>
  <c r="J15" i="6"/>
  <c r="F43" i="6"/>
  <c r="M7" i="7"/>
  <c r="L7" i="7"/>
  <c r="W12" i="8"/>
  <c r="W16" i="8"/>
  <c r="K53" i="7"/>
  <c r="L65" i="7"/>
  <c r="M65" i="7"/>
  <c r="K65" i="7"/>
  <c r="W20" i="8"/>
  <c r="W22" i="8"/>
  <c r="W28" i="8"/>
  <c r="S84" i="8"/>
  <c r="Q84" i="8"/>
  <c r="S222" i="8"/>
  <c r="Q222" i="8"/>
  <c r="R222" i="8"/>
  <c r="S270" i="8"/>
  <c r="Q270" i="8"/>
  <c r="R270" i="8"/>
  <c r="W47" i="8"/>
  <c r="S148" i="8"/>
  <c r="R148" i="8"/>
  <c r="Q148" i="8"/>
  <c r="S160" i="8"/>
  <c r="Q160" i="8"/>
  <c r="R160" i="8"/>
  <c r="S173" i="8"/>
  <c r="R173" i="8"/>
  <c r="Q173" i="8"/>
  <c r="S223" i="8"/>
  <c r="R223" i="8"/>
  <c r="Q223" i="8"/>
  <c r="S255" i="8"/>
  <c r="Q255" i="8"/>
  <c r="R255" i="8"/>
  <c r="S271" i="8"/>
  <c r="Q271" i="8"/>
  <c r="S285" i="8"/>
  <c r="Q285" i="8"/>
  <c r="R285" i="8"/>
  <c r="F25" i="6"/>
  <c r="K24" i="7"/>
  <c r="K59" i="7"/>
  <c r="L61" i="7"/>
  <c r="K63" i="7"/>
  <c r="K69" i="7"/>
  <c r="L71" i="7"/>
  <c r="J73" i="7"/>
  <c r="J75" i="7"/>
  <c r="J77" i="7"/>
  <c r="R9" i="8"/>
  <c r="R11" i="8"/>
  <c r="Q11" i="8"/>
  <c r="Q53" i="8"/>
  <c r="R53" i="8"/>
  <c r="Q56" i="8"/>
  <c r="S56" i="8"/>
  <c r="R56" i="8"/>
  <c r="S80" i="8"/>
  <c r="Q80" i="8"/>
  <c r="R80" i="8"/>
  <c r="S125" i="8"/>
  <c r="Q125" i="8"/>
  <c r="S174" i="8"/>
  <c r="Q174" i="8"/>
  <c r="Q184" i="8"/>
  <c r="S256" i="8"/>
  <c r="Q256" i="8"/>
  <c r="R256" i="8"/>
  <c r="R271" i="8"/>
  <c r="S286" i="8"/>
  <c r="Q286" i="8"/>
  <c r="R286" i="8"/>
  <c r="M64" i="9"/>
  <c r="A64" i="9"/>
  <c r="M84" i="9"/>
  <c r="A84" i="9"/>
  <c r="J38" i="6"/>
  <c r="E49" i="6"/>
  <c r="L59" i="7"/>
  <c r="M61" i="7"/>
  <c r="L63" i="7"/>
  <c r="L69" i="7"/>
  <c r="M71" i="7"/>
  <c r="K73" i="7"/>
  <c r="K75" i="7"/>
  <c r="K77" i="7"/>
  <c r="L85" i="7"/>
  <c r="M85" i="7"/>
  <c r="K85" i="7"/>
  <c r="W9" i="8"/>
  <c r="S11" i="8"/>
  <c r="Q35" i="8"/>
  <c r="S53" i="8"/>
  <c r="R125" i="8"/>
  <c r="R161" i="8"/>
  <c r="R174" i="8"/>
  <c r="R184" i="8"/>
  <c r="S197" i="8"/>
  <c r="Q197" i="8"/>
  <c r="S225" i="8"/>
  <c r="Q225" i="8"/>
  <c r="R225" i="8"/>
  <c r="S240" i="8"/>
  <c r="Q240" i="8"/>
  <c r="R240" i="8"/>
  <c r="L30" i="7"/>
  <c r="L73" i="7"/>
  <c r="M75" i="7"/>
  <c r="L77" i="7"/>
  <c r="W11" i="8"/>
  <c r="S35" i="8"/>
  <c r="S68" i="8"/>
  <c r="Q68" i="8"/>
  <c r="R68" i="8"/>
  <c r="Q126" i="8"/>
  <c r="S126" i="8"/>
  <c r="R126" i="8"/>
  <c r="S137" i="8"/>
  <c r="Q137" i="8"/>
  <c r="R137" i="8"/>
  <c r="S161" i="8"/>
  <c r="S175" i="8"/>
  <c r="Q175" i="8"/>
  <c r="S210" i="8"/>
  <c r="Q210" i="8"/>
  <c r="R210" i="8"/>
  <c r="S226" i="8"/>
  <c r="Q226" i="8"/>
  <c r="R226" i="8"/>
  <c r="S241" i="8"/>
  <c r="Q241" i="8"/>
  <c r="R241" i="8"/>
  <c r="S273" i="8"/>
  <c r="R273" i="8"/>
  <c r="Q273" i="8"/>
  <c r="J33" i="6"/>
  <c r="E36" i="6"/>
  <c r="E52" i="6"/>
  <c r="J13" i="7"/>
  <c r="L15" i="7"/>
  <c r="M15" i="7"/>
  <c r="J30" i="7"/>
  <c r="J93" i="7"/>
  <c r="J95" i="7"/>
  <c r="J97" i="7"/>
  <c r="S38" i="8"/>
  <c r="R38" i="8"/>
  <c r="S138" i="8"/>
  <c r="R138" i="8"/>
  <c r="Q138" i="8"/>
  <c r="R175" i="8"/>
  <c r="S198" i="8"/>
  <c r="R198" i="8"/>
  <c r="Q198" i="8"/>
  <c r="S242" i="8"/>
  <c r="Q242" i="8"/>
  <c r="R242" i="8"/>
  <c r="F52" i="6"/>
  <c r="K13" i="7"/>
  <c r="L28" i="7"/>
  <c r="K30" i="7"/>
  <c r="L79" i="7"/>
  <c r="M81" i="7"/>
  <c r="L83" i="7"/>
  <c r="L89" i="7"/>
  <c r="M91" i="7"/>
  <c r="K93" i="7"/>
  <c r="K95" i="7"/>
  <c r="K97" i="7"/>
  <c r="R6" i="8"/>
  <c r="Q38" i="8"/>
  <c r="S57" i="8"/>
  <c r="Q57" i="8"/>
  <c r="Q106" i="8"/>
  <c r="S106" i="8"/>
  <c r="R106" i="8"/>
  <c r="Q116" i="8"/>
  <c r="R116" i="8"/>
  <c r="S139" i="8"/>
  <c r="R139" i="8"/>
  <c r="S243" i="8"/>
  <c r="R243" i="8"/>
  <c r="Q243" i="8"/>
  <c r="K15" i="7"/>
  <c r="M30" i="7"/>
  <c r="M34" i="7"/>
  <c r="L34" i="7"/>
  <c r="K36" i="7"/>
  <c r="L36" i="7"/>
  <c r="J36" i="7"/>
  <c r="L40" i="7"/>
  <c r="K46" i="7"/>
  <c r="M95" i="7"/>
  <c r="J101" i="7"/>
  <c r="J103" i="7"/>
  <c r="Q6" i="8"/>
  <c r="Q15" i="8"/>
  <c r="Q25" i="8"/>
  <c r="W31" i="8"/>
  <c r="W45" i="8"/>
  <c r="R57" i="8"/>
  <c r="Q61" i="8"/>
  <c r="S61" i="8"/>
  <c r="S128" i="8"/>
  <c r="Q128" i="8"/>
  <c r="Q151" i="8"/>
  <c r="R151" i="8"/>
  <c r="S164" i="8"/>
  <c r="Q164" i="8"/>
  <c r="S187" i="8"/>
  <c r="Q187" i="8"/>
  <c r="R187" i="8"/>
  <c r="S200" i="8"/>
  <c r="Q200" i="8"/>
  <c r="S212" i="8"/>
  <c r="Q212" i="8"/>
  <c r="R212" i="8"/>
  <c r="S275" i="8"/>
  <c r="Q275" i="8"/>
  <c r="R275" i="8"/>
  <c r="S117" i="8"/>
  <c r="Q117" i="8"/>
  <c r="S140" i="8"/>
  <c r="Q140" i="8"/>
  <c r="R140" i="8"/>
  <c r="S188" i="8"/>
  <c r="R188" i="8"/>
  <c r="Q188" i="8"/>
  <c r="S213" i="8"/>
  <c r="R213" i="8"/>
  <c r="Q213" i="8"/>
  <c r="S245" i="8"/>
  <c r="Q245" i="8"/>
  <c r="R245" i="8"/>
  <c r="S260" i="8"/>
  <c r="Q260" i="8"/>
  <c r="R260" i="8"/>
  <c r="S276" i="8"/>
  <c r="Q276" i="8"/>
  <c r="R276" i="8"/>
  <c r="S290" i="8"/>
  <c r="Q290" i="8"/>
  <c r="R290" i="8"/>
  <c r="S261" i="8"/>
  <c r="Q261" i="8"/>
  <c r="R261" i="8"/>
  <c r="S246" i="8"/>
  <c r="Q246" i="8"/>
  <c r="R246" i="8"/>
  <c r="E13" i="6"/>
  <c r="L38" i="7"/>
  <c r="K48" i="7"/>
  <c r="J52" i="7"/>
  <c r="J60" i="7"/>
  <c r="J62" i="7"/>
  <c r="J64" i="7"/>
  <c r="J66" i="7"/>
  <c r="R8" i="8"/>
  <c r="S17" i="8"/>
  <c r="W21" i="8"/>
  <c r="W23" i="8"/>
  <c r="S82" i="8"/>
  <c r="Q82" i="8"/>
  <c r="S94" i="8"/>
  <c r="Q94" i="8"/>
  <c r="S215" i="8"/>
  <c r="Q215" i="8"/>
  <c r="R215" i="8"/>
  <c r="S230" i="8"/>
  <c r="Q230" i="8"/>
  <c r="R230" i="8"/>
  <c r="S262" i="8"/>
  <c r="Q262" i="8"/>
  <c r="R262" i="8"/>
  <c r="L50" i="7"/>
  <c r="M54" i="7"/>
  <c r="L54" i="7"/>
  <c r="K56" i="7"/>
  <c r="L56" i="7"/>
  <c r="J56" i="7"/>
  <c r="S77" i="8"/>
  <c r="Q77" i="8"/>
  <c r="R77" i="8"/>
  <c r="S102" i="8"/>
  <c r="Q102" i="8"/>
  <c r="R102" i="8"/>
  <c r="Q201" i="8"/>
  <c r="R201" i="8"/>
  <c r="E29" i="6"/>
  <c r="L48" i="7"/>
  <c r="K50" i="7"/>
  <c r="K52" i="7"/>
  <c r="K54" i="7"/>
  <c r="K60" i="7"/>
  <c r="K62" i="7"/>
  <c r="K64" i="7"/>
  <c r="L66" i="7"/>
  <c r="J68" i="7"/>
  <c r="R10" i="8"/>
  <c r="W17" i="8"/>
  <c r="Q36" i="8"/>
  <c r="Q46" i="8"/>
  <c r="R82" i="8"/>
  <c r="Q86" i="8"/>
  <c r="S86" i="8"/>
  <c r="R86" i="8"/>
  <c r="R94" i="8"/>
  <c r="Q166" i="8"/>
  <c r="S166" i="8"/>
  <c r="S178" i="8"/>
  <c r="R178" i="8"/>
  <c r="Q178" i="8"/>
  <c r="S202" i="8"/>
  <c r="Q202" i="8"/>
  <c r="R202" i="8"/>
  <c r="S263" i="8"/>
  <c r="R263" i="8"/>
  <c r="Q263" i="8"/>
  <c r="S292" i="8"/>
  <c r="Q292" i="8"/>
  <c r="R292" i="8"/>
  <c r="S189" i="8"/>
  <c r="R189" i="8"/>
  <c r="F13" i="6"/>
  <c r="F51" i="6"/>
  <c r="E51" i="6"/>
  <c r="E37" i="6"/>
  <c r="J8" i="7"/>
  <c r="N50" i="7" s="1"/>
  <c r="L10" i="7"/>
  <c r="K10" i="7"/>
  <c r="J10" i="7"/>
  <c r="N10" i="7" s="1"/>
  <c r="L25" i="7"/>
  <c r="M50" i="7"/>
  <c r="M60" i="7"/>
  <c r="M66" i="7"/>
  <c r="K68" i="7"/>
  <c r="M74" i="7"/>
  <c r="L74" i="7"/>
  <c r="K76" i="7"/>
  <c r="L76" i="7"/>
  <c r="J76" i="7"/>
  <c r="W8" i="8"/>
  <c r="S10" i="8"/>
  <c r="R36" i="8"/>
  <c r="R46" i="8"/>
  <c r="S62" i="8"/>
  <c r="Q62" i="8"/>
  <c r="S130" i="8"/>
  <c r="Q130" i="8"/>
  <c r="R130" i="8"/>
  <c r="S217" i="8"/>
  <c r="Q217" i="8"/>
  <c r="R217" i="8"/>
  <c r="S293" i="8"/>
  <c r="R293" i="8"/>
  <c r="Q293" i="8"/>
  <c r="S70" i="8"/>
  <c r="Q70" i="8"/>
  <c r="Q131" i="8"/>
  <c r="S131" i="8"/>
  <c r="R131" i="8"/>
  <c r="S204" i="8"/>
  <c r="R204" i="8"/>
  <c r="Q204" i="8"/>
  <c r="S232" i="8"/>
  <c r="Q232" i="8"/>
  <c r="R232" i="8"/>
  <c r="L8" i="7"/>
  <c r="K12" i="7"/>
  <c r="K29" i="7"/>
  <c r="J29" i="7"/>
  <c r="N29" i="7" s="1"/>
  <c r="S34" i="8"/>
  <c r="Q34" i="8"/>
  <c r="W41" i="8"/>
  <c r="S120" i="8"/>
  <c r="Q120" i="8"/>
  <c r="R120" i="8"/>
  <c r="S143" i="8"/>
  <c r="R143" i="8"/>
  <c r="Q143" i="8"/>
  <c r="S155" i="8"/>
  <c r="Q155" i="8"/>
  <c r="R155" i="8"/>
  <c r="S233" i="8"/>
  <c r="R233" i="8"/>
  <c r="Q233" i="8"/>
  <c r="J16" i="7"/>
  <c r="M25" i="7"/>
  <c r="L29" i="7"/>
  <c r="J31" i="7"/>
  <c r="M80" i="7"/>
  <c r="M86" i="7"/>
  <c r="K88" i="7"/>
  <c r="J90" i="7"/>
  <c r="J92" i="7"/>
  <c r="M94" i="7"/>
  <c r="L94" i="7"/>
  <c r="K96" i="7"/>
  <c r="L96" i="7"/>
  <c r="J96" i="7"/>
  <c r="S12" i="8"/>
  <c r="R34" i="8"/>
  <c r="S66" i="8"/>
  <c r="S87" i="8"/>
  <c r="Q87" i="8"/>
  <c r="R87" i="8"/>
  <c r="Q91" i="8"/>
  <c r="R91" i="8"/>
  <c r="S95" i="8"/>
  <c r="Q95" i="8"/>
  <c r="R111" i="8"/>
  <c r="Q121" i="8"/>
  <c r="S121" i="8"/>
  <c r="S144" i="8"/>
  <c r="R144" i="8"/>
  <c r="Q144" i="8"/>
  <c r="S180" i="8"/>
  <c r="Q180" i="8"/>
  <c r="R180" i="8"/>
  <c r="S281" i="8"/>
  <c r="Q281" i="8"/>
  <c r="M20" i="9"/>
  <c r="F36" i="6"/>
  <c r="F26" i="6"/>
  <c r="F46" i="6"/>
  <c r="E27" i="6"/>
  <c r="F40" i="6"/>
  <c r="K16" i="7"/>
  <c r="M29" i="7"/>
  <c r="K31" i="7"/>
  <c r="L35" i="7"/>
  <c r="L88" i="7"/>
  <c r="K90" i="7"/>
  <c r="K92" i="7"/>
  <c r="R30" i="8"/>
  <c r="Q30" i="8"/>
  <c r="W34" i="8"/>
  <c r="S59" i="8"/>
  <c r="Q59" i="8"/>
  <c r="S111" i="8"/>
  <c r="S251" i="8"/>
  <c r="Q251" i="8"/>
  <c r="R281" i="8"/>
  <c r="L31" i="7"/>
  <c r="J33" i="7"/>
  <c r="J35" i="7"/>
  <c r="J37" i="7"/>
  <c r="M90" i="7"/>
  <c r="L92" i="7"/>
  <c r="K94" i="7"/>
  <c r="K100" i="7"/>
  <c r="K102" i="7"/>
  <c r="K104" i="7"/>
  <c r="R14" i="8"/>
  <c r="Q18" i="8"/>
  <c r="Q20" i="8"/>
  <c r="Q22" i="8"/>
  <c r="Q26" i="8"/>
  <c r="Q28" i="8"/>
  <c r="S30" i="8"/>
  <c r="S32" i="8"/>
  <c r="Q55" i="8"/>
  <c r="R59" i="8"/>
  <c r="S220" i="8"/>
  <c r="Q220" i="8"/>
  <c r="R220" i="8"/>
  <c r="S236" i="8"/>
  <c r="Q236" i="8"/>
  <c r="R236" i="8"/>
  <c r="R251" i="8"/>
  <c r="S282" i="8"/>
  <c r="Q282" i="8"/>
  <c r="R282" i="8"/>
  <c r="L20" i="7"/>
  <c r="K35" i="7"/>
  <c r="K41" i="7"/>
  <c r="L45" i="7"/>
  <c r="M45" i="7"/>
  <c r="K45" i="7"/>
  <c r="K51" i="7"/>
  <c r="M100" i="7"/>
  <c r="S18" i="8"/>
  <c r="R26" i="8"/>
  <c r="W30" i="8"/>
  <c r="W52" i="8"/>
  <c r="R55" i="8"/>
  <c r="Q71" i="8"/>
  <c r="R71" i="8"/>
  <c r="S100" i="8"/>
  <c r="Q100" i="8"/>
  <c r="Q134" i="8"/>
  <c r="Q146" i="8"/>
  <c r="S146" i="8"/>
  <c r="Q171" i="8"/>
  <c r="S171" i="8"/>
  <c r="R171" i="8"/>
  <c r="S182" i="8"/>
  <c r="Q182" i="8"/>
  <c r="S194" i="8"/>
  <c r="Q194" i="8"/>
  <c r="S221" i="8"/>
  <c r="Q221" i="8"/>
  <c r="S252" i="8"/>
  <c r="Q252" i="8"/>
  <c r="R252" i="8"/>
  <c r="S283" i="8"/>
  <c r="R283" i="8"/>
  <c r="Q283" i="8"/>
  <c r="M36" i="9"/>
  <c r="A36" i="9" s="1"/>
  <c r="W18" i="8"/>
  <c r="W44" i="8"/>
  <c r="S71" i="8"/>
  <c r="R100" i="8"/>
  <c r="S113" i="8"/>
  <c r="Q113" i="8"/>
  <c r="R134" i="8"/>
  <c r="R146" i="8"/>
  <c r="S207" i="8"/>
  <c r="Q207" i="8"/>
  <c r="R207" i="8"/>
  <c r="S253" i="8"/>
  <c r="R253" i="8"/>
  <c r="Q253" i="8"/>
  <c r="A47" i="9"/>
  <c r="W55" i="8"/>
  <c r="S109" i="8"/>
  <c r="R109" i="8"/>
  <c r="S152" i="8"/>
  <c r="Q152" i="8"/>
  <c r="S211" i="8"/>
  <c r="Q211" i="8"/>
  <c r="S227" i="8"/>
  <c r="Q227" i="8"/>
  <c r="R227" i="8"/>
  <c r="S272" i="8"/>
  <c r="Q272" i="8"/>
  <c r="R272" i="8"/>
  <c r="S300" i="8"/>
  <c r="Q300" i="8"/>
  <c r="R300" i="8"/>
  <c r="R21" i="8"/>
  <c r="Q21" i="8"/>
  <c r="Q96" i="8"/>
  <c r="R96" i="8"/>
  <c r="S167" i="8"/>
  <c r="Q167" i="8"/>
  <c r="R167" i="8"/>
  <c r="S216" i="8"/>
  <c r="Q216" i="8"/>
  <c r="R216" i="8"/>
  <c r="S231" i="8"/>
  <c r="Q231" i="8"/>
  <c r="S291" i="8"/>
  <c r="Q291" i="8"/>
  <c r="M44" i="9"/>
  <c r="M56" i="9"/>
  <c r="A56" i="9"/>
  <c r="W14" i="8"/>
  <c r="Q81" i="8"/>
  <c r="S81" i="8"/>
  <c r="R81" i="8"/>
  <c r="S93" i="8"/>
  <c r="Q93" i="8"/>
  <c r="S105" i="8"/>
  <c r="Q105" i="8"/>
  <c r="S147" i="8"/>
  <c r="Q147" i="8"/>
  <c r="S157" i="8"/>
  <c r="Q157" i="8"/>
  <c r="R157" i="8"/>
  <c r="S170" i="8"/>
  <c r="Q170" i="8"/>
  <c r="S265" i="8"/>
  <c r="Q265" i="8"/>
  <c r="R265" i="8"/>
  <c r="M32" i="9"/>
  <c r="L5" i="7"/>
  <c r="W25" i="8"/>
  <c r="Q29" i="8"/>
  <c r="S37" i="8"/>
  <c r="Q37" i="8"/>
  <c r="W46" i="8"/>
  <c r="S69" i="8"/>
  <c r="Q69" i="8"/>
  <c r="R93" i="8"/>
  <c r="R105" i="8"/>
  <c r="R147" i="8"/>
  <c r="S158" i="8"/>
  <c r="R158" i="8"/>
  <c r="Q158" i="8"/>
  <c r="R170" i="8"/>
  <c r="S193" i="8"/>
  <c r="R193" i="8"/>
  <c r="Q193" i="8"/>
  <c r="S235" i="8"/>
  <c r="Q235" i="8"/>
  <c r="R235" i="8"/>
  <c r="S250" i="8"/>
  <c r="Q250" i="8"/>
  <c r="R250" i="8"/>
  <c r="S266" i="8"/>
  <c r="Q266" i="8"/>
  <c r="R266" i="8"/>
  <c r="S280" i="8"/>
  <c r="Q280" i="8"/>
  <c r="R280" i="8"/>
  <c r="S73" i="8"/>
  <c r="Q73" i="8"/>
  <c r="S98" i="8"/>
  <c r="Q98" i="8"/>
  <c r="S112" i="8"/>
  <c r="Q112" i="8"/>
  <c r="S165" i="8"/>
  <c r="Q165" i="8"/>
  <c r="S183" i="8"/>
  <c r="R183" i="8"/>
  <c r="Q183" i="8"/>
  <c r="S192" i="8"/>
  <c r="Q192" i="8"/>
  <c r="A33" i="9"/>
  <c r="A45" i="9"/>
  <c r="S63" i="8"/>
  <c r="Q63" i="8"/>
  <c r="S88" i="8"/>
  <c r="Q88" i="8"/>
  <c r="S122" i="8"/>
  <c r="Q122" i="8"/>
  <c r="S185" i="8"/>
  <c r="Q185" i="8"/>
  <c r="S203" i="8"/>
  <c r="R203" i="8"/>
  <c r="Q203" i="8"/>
  <c r="M12" i="9"/>
  <c r="A29" i="9" s="1"/>
  <c r="M24" i="9"/>
  <c r="A30" i="9" s="1"/>
  <c r="W53" i="8"/>
  <c r="S74" i="8"/>
  <c r="Q74" i="8"/>
  <c r="S99" i="8"/>
  <c r="Q99" i="8"/>
  <c r="S123" i="8"/>
  <c r="Q123" i="8"/>
  <c r="S195" i="8"/>
  <c r="Q195" i="8"/>
  <c r="W37" i="8"/>
  <c r="Q41" i="8"/>
  <c r="S67" i="8"/>
  <c r="Q67" i="8"/>
  <c r="R74" i="8"/>
  <c r="S92" i="8"/>
  <c r="Q92" i="8"/>
  <c r="R99" i="8"/>
  <c r="S115" i="8"/>
  <c r="Q115" i="8"/>
  <c r="R123" i="8"/>
  <c r="S150" i="8"/>
  <c r="Q150" i="8"/>
  <c r="Q159" i="8"/>
  <c r="S168" i="8"/>
  <c r="R168" i="8"/>
  <c r="Q168" i="8"/>
  <c r="S177" i="8"/>
  <c r="Q177" i="8"/>
  <c r="R186" i="8"/>
  <c r="R195" i="8"/>
  <c r="Q214" i="8"/>
  <c r="Q224" i="8"/>
  <c r="Q234" i="8"/>
  <c r="Q244" i="8"/>
  <c r="Q254" i="8"/>
  <c r="Q264" i="8"/>
  <c r="Q274" i="8"/>
  <c r="Q284" i="8"/>
  <c r="S78" i="8"/>
  <c r="Q78" i="8"/>
  <c r="S103" i="8"/>
  <c r="Q103" i="8"/>
  <c r="S107" i="8"/>
  <c r="Q107" i="8"/>
  <c r="S132" i="8"/>
  <c r="Q132" i="8"/>
  <c r="R159" i="8"/>
  <c r="S186" i="8"/>
  <c r="S205" i="8"/>
  <c r="Q205" i="8"/>
  <c r="R214" i="8"/>
  <c r="R224" i="8"/>
  <c r="R234" i="8"/>
  <c r="R244" i="8"/>
  <c r="R254" i="8"/>
  <c r="R264" i="8"/>
  <c r="S295" i="8"/>
  <c r="Q295" i="8"/>
  <c r="A15" i="9"/>
  <c r="W51" i="8"/>
  <c r="S64" i="8"/>
  <c r="Q64" i="8"/>
  <c r="S89" i="8"/>
  <c r="Q89" i="8"/>
  <c r="S108" i="8"/>
  <c r="Q108" i="8"/>
  <c r="R124" i="8"/>
  <c r="S133" i="8"/>
  <c r="R133" i="8"/>
  <c r="Q133" i="8"/>
  <c r="S142" i="8"/>
  <c r="Q142" i="8"/>
  <c r="R169" i="8"/>
  <c r="S196" i="8"/>
  <c r="R295" i="8"/>
  <c r="S296" i="8"/>
  <c r="Q296" i="8"/>
  <c r="M40" i="9"/>
  <c r="A50" i="9" s="1"/>
  <c r="R296" i="8"/>
  <c r="S237" i="8"/>
  <c r="Q237" i="8"/>
  <c r="S247" i="8"/>
  <c r="Q247" i="8"/>
  <c r="S257" i="8"/>
  <c r="Q257" i="8"/>
  <c r="S267" i="8"/>
  <c r="Q267" i="8"/>
  <c r="S277" i="8"/>
  <c r="Q277" i="8"/>
  <c r="S287" i="8"/>
  <c r="Q287" i="8"/>
  <c r="S297" i="8"/>
  <c r="Q297" i="8"/>
  <c r="A6" i="9"/>
  <c r="S79" i="8"/>
  <c r="Q79" i="8"/>
  <c r="S104" i="8"/>
  <c r="Q104" i="8"/>
  <c r="S118" i="8"/>
  <c r="Q118" i="8"/>
  <c r="S135" i="8"/>
  <c r="Q135" i="8"/>
  <c r="S153" i="8"/>
  <c r="R153" i="8"/>
  <c r="Q153" i="8"/>
  <c r="S162" i="8"/>
  <c r="Q162" i="8"/>
  <c r="R237" i="8"/>
  <c r="R247" i="8"/>
  <c r="R257" i="8"/>
  <c r="R267" i="8"/>
  <c r="R277" i="8"/>
  <c r="R287" i="8"/>
  <c r="R297" i="8"/>
  <c r="M62" i="9"/>
  <c r="S72" i="8"/>
  <c r="Q72" i="8"/>
  <c r="R79" i="8"/>
  <c r="S97" i="8"/>
  <c r="Q97" i="8"/>
  <c r="R104" i="8"/>
  <c r="S110" i="8"/>
  <c r="Q110" i="8"/>
  <c r="R118" i="8"/>
  <c r="R135" i="8"/>
  <c r="R162" i="8"/>
  <c r="S190" i="8"/>
  <c r="Q190" i="8"/>
  <c r="Q199" i="8"/>
  <c r="S208" i="8"/>
  <c r="R208" i="8"/>
  <c r="Q208" i="8"/>
  <c r="S218" i="8"/>
  <c r="R218" i="8"/>
  <c r="Q218" i="8"/>
  <c r="S228" i="8"/>
  <c r="R228" i="8"/>
  <c r="Q228" i="8"/>
  <c r="S238" i="8"/>
  <c r="R238" i="8"/>
  <c r="Q238" i="8"/>
  <c r="S248" i="8"/>
  <c r="R248" i="8"/>
  <c r="Q248" i="8"/>
  <c r="S258" i="8"/>
  <c r="R258" i="8"/>
  <c r="Q258" i="8"/>
  <c r="S268" i="8"/>
  <c r="R268" i="8"/>
  <c r="Q268" i="8"/>
  <c r="S278" i="8"/>
  <c r="R278" i="8"/>
  <c r="Q278" i="8"/>
  <c r="S288" i="8"/>
  <c r="R288" i="8"/>
  <c r="Q288" i="8"/>
  <c r="S298" i="8"/>
  <c r="R298" i="8"/>
  <c r="Q298" i="8"/>
  <c r="M42" i="9"/>
  <c r="A42" i="9" s="1"/>
  <c r="Q24" i="8"/>
  <c r="R27" i="8"/>
  <c r="S58" i="8"/>
  <c r="Q58" i="8"/>
  <c r="Q65" i="8"/>
  <c r="R72" i="8"/>
  <c r="S83" i="8"/>
  <c r="Q83" i="8"/>
  <c r="Q90" i="8"/>
  <c r="R97" i="8"/>
  <c r="R110" i="8"/>
  <c r="S127" i="8"/>
  <c r="Q127" i="8"/>
  <c r="S145" i="8"/>
  <c r="Q145" i="8"/>
  <c r="Q154" i="8"/>
  <c r="S163" i="8"/>
  <c r="R163" i="8"/>
  <c r="Q163" i="8"/>
  <c r="S172" i="8"/>
  <c r="Q172" i="8"/>
  <c r="R181" i="8"/>
  <c r="R190" i="8"/>
  <c r="R199" i="8"/>
  <c r="M82" i="9"/>
  <c r="A17" i="9" s="1"/>
  <c r="Q301" i="8"/>
  <c r="A66" i="9"/>
  <c r="A86" i="9"/>
  <c r="Q302" i="8"/>
  <c r="A60" i="9"/>
  <c r="A80" i="9"/>
  <c r="A100" i="9"/>
  <c r="A74" i="9"/>
  <c r="A94" i="9"/>
  <c r="Q303" i="8"/>
  <c r="A68" i="9"/>
  <c r="A88" i="9"/>
  <c r="R303" i="8"/>
  <c r="A102" i="9"/>
  <c r="A96" i="9"/>
  <c r="A103" i="9"/>
  <c r="Q305" i="8"/>
  <c r="A104" i="9"/>
  <c r="S8" i="8" l="1"/>
  <c r="H11" i="8" s="1"/>
  <c r="S7" i="8"/>
  <c r="S6" i="8"/>
  <c r="G35" i="8" s="1"/>
  <c r="G23" i="8"/>
  <c r="H20" i="8"/>
  <c r="H17" i="8"/>
  <c r="I11" i="8"/>
  <c r="I8" i="8"/>
  <c r="G29" i="8"/>
  <c r="G33" i="8"/>
  <c r="G9" i="8"/>
  <c r="G6" i="8"/>
  <c r="H34" i="8"/>
  <c r="I31" i="8"/>
  <c r="I13" i="8"/>
  <c r="G20" i="8"/>
  <c r="I29" i="8"/>
  <c r="I27" i="8"/>
  <c r="G11" i="8"/>
  <c r="I9" i="8"/>
  <c r="H9" i="8"/>
  <c r="I24" i="8"/>
  <c r="H22" i="8"/>
  <c r="I7" i="8"/>
  <c r="H24" i="8"/>
  <c r="H18" i="8"/>
  <c r="H7" i="8"/>
  <c r="I34" i="8"/>
  <c r="H30" i="8"/>
  <c r="I26" i="8"/>
  <c r="G24" i="8"/>
  <c r="I14" i="8"/>
  <c r="G7" i="8"/>
  <c r="I12" i="8"/>
  <c r="H12" i="8"/>
  <c r="H10" i="8"/>
  <c r="G8" i="8"/>
  <c r="G25" i="8"/>
  <c r="I23" i="8"/>
  <c r="I21" i="8"/>
  <c r="I19" i="8"/>
  <c r="I17" i="8"/>
  <c r="H27" i="8"/>
  <c r="H23" i="8"/>
  <c r="H21" i="8"/>
  <c r="H19" i="8"/>
  <c r="G17" i="8"/>
  <c r="H33" i="8"/>
  <c r="H6" i="8"/>
  <c r="I35" i="8"/>
  <c r="G15" i="8"/>
  <c r="G13" i="8"/>
  <c r="N8" i="7"/>
  <c r="N49" i="7"/>
  <c r="N40" i="7"/>
  <c r="N22" i="7"/>
  <c r="N16" i="7"/>
  <c r="A49" i="9"/>
  <c r="N36" i="7"/>
  <c r="N6" i="7"/>
  <c r="N38" i="7"/>
  <c r="N52" i="7"/>
  <c r="N26" i="7"/>
  <c r="A19" i="9"/>
  <c r="A39" i="9"/>
  <c r="N14" i="7"/>
  <c r="N25" i="7"/>
  <c r="M54" i="8"/>
  <c r="M52" i="8"/>
  <c r="M50" i="8"/>
  <c r="N55" i="8"/>
  <c r="M46" i="8"/>
  <c r="L55" i="8"/>
  <c r="L53" i="8"/>
  <c r="L51" i="8"/>
  <c r="L47" i="8"/>
  <c r="N45" i="8"/>
  <c r="M36" i="8"/>
  <c r="L33" i="8"/>
  <c r="N30" i="8"/>
  <c r="L23" i="8"/>
  <c r="N20" i="8"/>
  <c r="L13" i="8"/>
  <c r="N10" i="8"/>
  <c r="N50" i="8"/>
  <c r="N48" i="8"/>
  <c r="N46" i="8"/>
  <c r="N44" i="8"/>
  <c r="L50" i="8"/>
  <c r="M48" i="8"/>
  <c r="L46" i="8"/>
  <c r="M44" i="8"/>
  <c r="N42" i="8"/>
  <c r="N54" i="8"/>
  <c r="L38" i="8"/>
  <c r="L36" i="8"/>
  <c r="M34" i="8"/>
  <c r="N31" i="8"/>
  <c r="N28" i="8"/>
  <c r="N25" i="8"/>
  <c r="N22" i="8"/>
  <c r="N51" i="8"/>
  <c r="N49" i="8"/>
  <c r="N47" i="8"/>
  <c r="M45" i="8"/>
  <c r="N43" i="8"/>
  <c r="L34" i="8"/>
  <c r="M31" i="8"/>
  <c r="M28" i="8"/>
  <c r="M25" i="8"/>
  <c r="M22" i="8"/>
  <c r="N19" i="8"/>
  <c r="N16" i="8"/>
  <c r="L49" i="8"/>
  <c r="L43" i="8"/>
  <c r="M41" i="8"/>
  <c r="L19" i="8"/>
  <c r="L16" i="8"/>
  <c r="M35" i="8"/>
  <c r="M33" i="8"/>
  <c r="N18" i="8"/>
  <c r="M8" i="8"/>
  <c r="M49" i="8"/>
  <c r="L44" i="8"/>
  <c r="N37" i="8"/>
  <c r="L35" i="8"/>
  <c r="M18" i="8"/>
  <c r="L8" i="8"/>
  <c r="M51" i="8"/>
  <c r="N39" i="8"/>
  <c r="L25" i="8"/>
  <c r="N14" i="8"/>
  <c r="L11" i="8"/>
  <c r="N9" i="8"/>
  <c r="M42" i="8"/>
  <c r="M9" i="8"/>
  <c r="L42" i="8"/>
  <c r="M37" i="8"/>
  <c r="N24" i="8"/>
  <c r="L9" i="8"/>
  <c r="N7" i="8"/>
  <c r="M47" i="8"/>
  <c r="L37" i="8"/>
  <c r="M24" i="8"/>
  <c r="M7" i="8"/>
  <c r="M55" i="8"/>
  <c r="M30" i="8"/>
  <c r="L28" i="8"/>
  <c r="N26" i="8"/>
  <c r="L24" i="8"/>
  <c r="L22" i="8"/>
  <c r="M20" i="8"/>
  <c r="L18" i="8"/>
  <c r="L7" i="8"/>
  <c r="N52" i="8"/>
  <c r="N32" i="8"/>
  <c r="L30" i="8"/>
  <c r="M26" i="8"/>
  <c r="L20" i="8"/>
  <c r="M16" i="8"/>
  <c r="M14" i="8"/>
  <c r="L52" i="8"/>
  <c r="N34" i="8"/>
  <c r="M32" i="8"/>
  <c r="L26" i="8"/>
  <c r="L14" i="8"/>
  <c r="M39" i="8"/>
  <c r="L32" i="8"/>
  <c r="N12" i="8"/>
  <c r="N36" i="8"/>
  <c r="N41" i="8"/>
  <c r="L39" i="8"/>
  <c r="M12" i="8"/>
  <c r="M10" i="8"/>
  <c r="L41" i="8"/>
  <c r="L12" i="8"/>
  <c r="L10" i="8"/>
  <c r="L54" i="8"/>
  <c r="M43" i="8"/>
  <c r="N21" i="8"/>
  <c r="N17" i="8"/>
  <c r="N8" i="8"/>
  <c r="N27" i="8"/>
  <c r="N23" i="8"/>
  <c r="M21" i="8"/>
  <c r="M17" i="8"/>
  <c r="N29" i="8"/>
  <c r="M27" i="8"/>
  <c r="M23" i="8"/>
  <c r="L21" i="8"/>
  <c r="M19" i="8"/>
  <c r="L17" i="8"/>
  <c r="N15" i="8"/>
  <c r="N6" i="8"/>
  <c r="L48" i="8"/>
  <c r="N38" i="8"/>
  <c r="M29" i="8"/>
  <c r="L27" i="8"/>
  <c r="M15" i="8"/>
  <c r="M6" i="8"/>
  <c r="M38" i="8"/>
  <c r="N33" i="8"/>
  <c r="L31" i="8"/>
  <c r="L29" i="8"/>
  <c r="L15" i="8"/>
  <c r="L6" i="8"/>
  <c r="L45" i="8"/>
  <c r="N40" i="8"/>
  <c r="N13" i="8"/>
  <c r="N53" i="8"/>
  <c r="M40" i="8"/>
  <c r="N35" i="8"/>
  <c r="M13" i="8"/>
  <c r="N11" i="8"/>
  <c r="M53" i="8"/>
  <c r="L40" i="8"/>
  <c r="M11" i="8"/>
  <c r="A38" i="9"/>
  <c r="A28" i="9"/>
  <c r="A8" i="9"/>
  <c r="A12" i="9"/>
  <c r="A16" i="9"/>
  <c r="A27" i="9"/>
  <c r="A10" i="9"/>
  <c r="N32" i="7"/>
  <c r="N44" i="7"/>
  <c r="N33" i="7"/>
  <c r="A24" i="9"/>
  <c r="A53" i="9"/>
  <c r="A32" i="9"/>
  <c r="A23" i="9"/>
  <c r="A9" i="9"/>
  <c r="A44" i="9"/>
  <c r="A20" i="9"/>
  <c r="N24" i="7"/>
  <c r="A31" i="9"/>
  <c r="A14" i="9"/>
  <c r="A35" i="9"/>
  <c r="A25" i="9"/>
  <c r="A21" i="9"/>
  <c r="A11" i="9"/>
  <c r="A22" i="9"/>
  <c r="A26" i="9"/>
  <c r="A54" i="9"/>
  <c r="A46" i="9"/>
  <c r="A34" i="9"/>
  <c r="A52" i="9"/>
  <c r="A13" i="9"/>
  <c r="A51" i="9"/>
  <c r="N28" i="7"/>
  <c r="N5" i="7"/>
  <c r="A48" i="9"/>
  <c r="A18" i="9"/>
  <c r="A5" i="9"/>
  <c r="A43" i="9"/>
  <c r="N30" i="7"/>
  <c r="N18" i="7"/>
  <c r="N47" i="7"/>
  <c r="N42" i="7"/>
  <c r="A7" i="9"/>
  <c r="A41" i="9"/>
  <c r="A40" i="9"/>
  <c r="N17" i="7"/>
  <c r="N21" i="7"/>
  <c r="N41" i="7"/>
  <c r="N46" i="7"/>
  <c r="N7" i="7"/>
  <c r="A37" i="9"/>
  <c r="N13" i="7"/>
  <c r="N53" i="7"/>
  <c r="N54" i="7"/>
  <c r="N20" i="7"/>
  <c r="N45" i="7"/>
  <c r="N48" i="7"/>
  <c r="N39" i="7"/>
  <c r="N34" i="7"/>
  <c r="N43" i="7"/>
  <c r="N37" i="7"/>
  <c r="N31" i="7"/>
  <c r="N23" i="7"/>
  <c r="N27" i="7"/>
  <c r="N12" i="7"/>
  <c r="N35" i="7"/>
  <c r="N15" i="7"/>
  <c r="N19" i="7"/>
  <c r="N51" i="7"/>
  <c r="H25" i="8" l="1"/>
  <c r="H28" i="8"/>
  <c r="H14" i="8"/>
  <c r="G14" i="8"/>
  <c r="H29" i="8"/>
  <c r="G31" i="8"/>
  <c r="G30" i="8"/>
  <c r="H35" i="8"/>
  <c r="I15" i="8"/>
  <c r="I32" i="8"/>
  <c r="I16" i="8"/>
  <c r="I28" i="8"/>
  <c r="G27" i="8"/>
  <c r="G34" i="8"/>
  <c r="G18" i="8"/>
  <c r="H15" i="8"/>
  <c r="G10" i="8"/>
  <c r="G16" i="8"/>
  <c r="H13" i="8"/>
  <c r="G26" i="8"/>
  <c r="I6" i="8"/>
  <c r="H8" i="8"/>
  <c r="G22" i="8"/>
  <c r="I33" i="8"/>
  <c r="G32" i="8"/>
  <c r="G19" i="8"/>
  <c r="I10" i="8"/>
  <c r="G28" i="8"/>
  <c r="I20" i="8"/>
  <c r="H16" i="8"/>
  <c r="G21" i="8"/>
  <c r="G12" i="8"/>
  <c r="I30" i="8"/>
  <c r="I22" i="8"/>
  <c r="H26" i="8"/>
  <c r="I25" i="8"/>
  <c r="H31" i="8"/>
  <c r="H32" i="8"/>
  <c r="I18" i="8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D102" i="7"/>
  <c r="F100" i="7"/>
  <c r="B93" i="7"/>
  <c r="E91" i="7"/>
  <c r="D82" i="7"/>
  <c r="F80" i="7"/>
  <c r="B73" i="7"/>
  <c r="E71" i="7"/>
  <c r="D62" i="7"/>
  <c r="F60" i="7"/>
  <c r="B53" i="7"/>
  <c r="E51" i="7"/>
  <c r="D42" i="7"/>
  <c r="F40" i="7"/>
  <c r="C33" i="7"/>
  <c r="E26" i="7"/>
  <c r="C21" i="7"/>
  <c r="F19" i="7"/>
  <c r="D14" i="7"/>
  <c r="E7" i="7"/>
  <c r="C102" i="7"/>
  <c r="E100" i="7"/>
  <c r="D91" i="7"/>
  <c r="F89" i="7"/>
  <c r="C82" i="7"/>
  <c r="E80" i="7"/>
  <c r="D71" i="7"/>
  <c r="F69" i="7"/>
  <c r="C62" i="7"/>
  <c r="E60" i="7"/>
  <c r="D51" i="7"/>
  <c r="F49" i="7"/>
  <c r="C42" i="7"/>
  <c r="E40" i="7"/>
  <c r="B33" i="7"/>
  <c r="F31" i="7"/>
  <c r="D26" i="7"/>
  <c r="B21" i="7"/>
  <c r="E19" i="7"/>
  <c r="B14" i="7"/>
  <c r="F12" i="7"/>
  <c r="D7" i="7"/>
  <c r="C97" i="7"/>
  <c r="C95" i="7"/>
  <c r="B91" i="7"/>
  <c r="B89" i="7"/>
  <c r="D87" i="7"/>
  <c r="D85" i="7"/>
  <c r="C83" i="7"/>
  <c r="D81" i="7"/>
  <c r="D79" i="7"/>
  <c r="F77" i="7"/>
  <c r="F75" i="7"/>
  <c r="E73" i="7"/>
  <c r="B97" i="7"/>
  <c r="C87" i="7"/>
  <c r="C85" i="7"/>
  <c r="B83" i="7"/>
  <c r="C81" i="7"/>
  <c r="B79" i="7"/>
  <c r="E77" i="7"/>
  <c r="E75" i="7"/>
  <c r="D73" i="7"/>
  <c r="F71" i="7"/>
  <c r="E69" i="7"/>
  <c r="F67" i="7"/>
  <c r="F65" i="7"/>
  <c r="E63" i="7"/>
  <c r="F61" i="7"/>
  <c r="F59" i="7"/>
  <c r="B30" i="7"/>
  <c r="C28" i="7"/>
  <c r="C26" i="7"/>
  <c r="F24" i="7"/>
  <c r="B13" i="7"/>
  <c r="E11" i="7"/>
  <c r="F9" i="7"/>
  <c r="B87" i="7"/>
  <c r="B81" i="7"/>
  <c r="D77" i="7"/>
  <c r="D75" i="7"/>
  <c r="C73" i="7"/>
  <c r="C71" i="7"/>
  <c r="D69" i="7"/>
  <c r="E67" i="7"/>
  <c r="E65" i="7"/>
  <c r="D63" i="7"/>
  <c r="E61" i="7"/>
  <c r="E59" i="7"/>
  <c r="B28" i="7"/>
  <c r="B26" i="7"/>
  <c r="E24" i="7"/>
  <c r="F22" i="7"/>
  <c r="D11" i="7"/>
  <c r="E9" i="7"/>
  <c r="F7" i="7"/>
  <c r="C77" i="7"/>
  <c r="C75" i="7"/>
  <c r="B71" i="7"/>
  <c r="B69" i="7"/>
  <c r="D67" i="7"/>
  <c r="D65" i="7"/>
  <c r="C63" i="7"/>
  <c r="D61" i="7"/>
  <c r="D59" i="7"/>
  <c r="F57" i="7"/>
  <c r="F55" i="7"/>
  <c r="E53" i="7"/>
  <c r="F51" i="7"/>
  <c r="E49" i="7"/>
  <c r="F47" i="7"/>
  <c r="F45" i="7"/>
  <c r="E43" i="7"/>
  <c r="F41" i="7"/>
  <c r="F39" i="7"/>
  <c r="D24" i="7"/>
  <c r="E22" i="7"/>
  <c r="F20" i="7"/>
  <c r="C11" i="7"/>
  <c r="D9" i="7"/>
  <c r="C7" i="7"/>
  <c r="F5" i="7"/>
  <c r="B77" i="7"/>
  <c r="C67" i="7"/>
  <c r="C65" i="7"/>
  <c r="B63" i="7"/>
  <c r="C61" i="7"/>
  <c r="B59" i="7"/>
  <c r="E57" i="7"/>
  <c r="E55" i="7"/>
  <c r="D53" i="7"/>
  <c r="C51" i="7"/>
  <c r="D49" i="7"/>
  <c r="E47" i="7"/>
  <c r="E45" i="7"/>
  <c r="D43" i="7"/>
  <c r="E41" i="7"/>
  <c r="E39" i="7"/>
  <c r="B24" i="7"/>
  <c r="D22" i="7"/>
  <c r="E20" i="7"/>
  <c r="F18" i="7"/>
  <c r="B11" i="7"/>
  <c r="B9" i="7"/>
  <c r="B7" i="7"/>
  <c r="E5" i="7"/>
  <c r="B67" i="7"/>
  <c r="B61" i="7"/>
  <c r="D57" i="7"/>
  <c r="D55" i="7"/>
  <c r="C53" i="7"/>
  <c r="B51" i="7"/>
  <c r="B49" i="7"/>
  <c r="D47" i="7"/>
  <c r="D45" i="7"/>
  <c r="C43" i="7"/>
  <c r="D41" i="7"/>
  <c r="D39" i="7"/>
  <c r="F37" i="7"/>
  <c r="F35" i="7"/>
  <c r="F33" i="7"/>
  <c r="C22" i="7"/>
  <c r="D20" i="7"/>
  <c r="E18" i="7"/>
  <c r="D5" i="7"/>
  <c r="F104" i="7"/>
  <c r="F102" i="7"/>
  <c r="D100" i="7"/>
  <c r="E98" i="7"/>
  <c r="F96" i="7"/>
  <c r="F94" i="7"/>
  <c r="E104" i="7"/>
  <c r="E102" i="7"/>
  <c r="C100" i="7"/>
  <c r="D98" i="7"/>
  <c r="E96" i="7"/>
  <c r="E94" i="7"/>
  <c r="F92" i="7"/>
  <c r="F90" i="7"/>
  <c r="B57" i="7"/>
  <c r="B47" i="7"/>
  <c r="B41" i="7"/>
  <c r="D37" i="7"/>
  <c r="D35" i="7"/>
  <c r="D33" i="7"/>
  <c r="E31" i="7"/>
  <c r="F29" i="7"/>
  <c r="B20" i="7"/>
  <c r="C18" i="7"/>
  <c r="F16" i="7"/>
  <c r="B5" i="7"/>
  <c r="C88" i="7"/>
  <c r="D104" i="7"/>
  <c r="B102" i="7"/>
  <c r="C98" i="7"/>
  <c r="D96" i="7"/>
  <c r="D94" i="7"/>
  <c r="E92" i="7"/>
  <c r="E90" i="7"/>
  <c r="E88" i="7"/>
  <c r="C37" i="7"/>
  <c r="C35" i="7"/>
  <c r="D31" i="7"/>
  <c r="E29" i="7"/>
  <c r="F27" i="7"/>
  <c r="B18" i="7"/>
  <c r="E16" i="7"/>
  <c r="F14" i="7"/>
  <c r="B96" i="7"/>
  <c r="C92" i="7"/>
  <c r="C90" i="7"/>
  <c r="E86" i="7"/>
  <c r="E84" i="7"/>
  <c r="E82" i="7"/>
  <c r="C80" i="7"/>
  <c r="D78" i="7"/>
  <c r="E76" i="7"/>
  <c r="E74" i="7"/>
  <c r="F72" i="7"/>
  <c r="F70" i="7"/>
  <c r="B104" i="7"/>
  <c r="B98" i="7"/>
  <c r="C96" i="7"/>
  <c r="B94" i="7"/>
  <c r="D92" i="7"/>
  <c r="D90" i="7"/>
  <c r="D88" i="7"/>
  <c r="F86" i="7"/>
  <c r="F84" i="7"/>
  <c r="F82" i="7"/>
  <c r="D80" i="7"/>
  <c r="E78" i="7"/>
  <c r="F76" i="7"/>
  <c r="F74" i="7"/>
  <c r="B37" i="7"/>
  <c r="C31" i="7"/>
  <c r="D29" i="7"/>
  <c r="E27" i="7"/>
  <c r="F25" i="7"/>
  <c r="D16" i="7"/>
  <c r="E14" i="7"/>
  <c r="E12" i="7"/>
  <c r="F10" i="7"/>
  <c r="B92" i="7"/>
  <c r="B88" i="7"/>
  <c r="D86" i="7"/>
  <c r="D84" i="7"/>
  <c r="B82" i="7"/>
  <c r="C78" i="7"/>
  <c r="D76" i="7"/>
  <c r="D74" i="7"/>
  <c r="E72" i="7"/>
  <c r="E70" i="7"/>
  <c r="E68" i="7"/>
  <c r="C86" i="7"/>
  <c r="B84" i="7"/>
  <c r="B78" i="7"/>
  <c r="C76" i="7"/>
  <c r="B74" i="7"/>
  <c r="D72" i="7"/>
  <c r="D70" i="7"/>
  <c r="D68" i="7"/>
  <c r="F66" i="7"/>
  <c r="F64" i="7"/>
  <c r="F62" i="7"/>
  <c r="D60" i="7"/>
  <c r="E58" i="7"/>
  <c r="F56" i="7"/>
  <c r="F54" i="7"/>
  <c r="F52" i="7"/>
  <c r="F50" i="7"/>
  <c r="B27" i="7"/>
  <c r="C25" i="7"/>
  <c r="F23" i="7"/>
  <c r="B12" i="7"/>
  <c r="C10" i="7"/>
  <c r="D8" i="7"/>
  <c r="F6" i="7"/>
  <c r="B86" i="7"/>
  <c r="B76" i="7"/>
  <c r="C72" i="7"/>
  <c r="C70" i="7"/>
  <c r="C68" i="7"/>
  <c r="E66" i="7"/>
  <c r="E64" i="7"/>
  <c r="E62" i="7"/>
  <c r="C60" i="7"/>
  <c r="D58" i="7"/>
  <c r="E56" i="7"/>
  <c r="E54" i="7"/>
  <c r="E52" i="7"/>
  <c r="E50" i="7"/>
  <c r="E48" i="7"/>
  <c r="B25" i="7"/>
  <c r="E23" i="7"/>
  <c r="B10" i="7"/>
  <c r="C8" i="7"/>
  <c r="E6" i="7"/>
  <c r="B72" i="7"/>
  <c r="B68" i="7"/>
  <c r="D66" i="7"/>
  <c r="D64" i="7"/>
  <c r="B62" i="7"/>
  <c r="C58" i="7"/>
  <c r="D56" i="7"/>
  <c r="D54" i="7"/>
  <c r="D52" i="7"/>
  <c r="D50" i="7"/>
  <c r="D48" i="7"/>
  <c r="F46" i="7"/>
  <c r="F44" i="7"/>
  <c r="F42" i="7"/>
  <c r="D40" i="7"/>
  <c r="E38" i="7"/>
  <c r="F36" i="7"/>
  <c r="F34" i="7"/>
  <c r="D23" i="7"/>
  <c r="F21" i="7"/>
  <c r="B8" i="7"/>
  <c r="D6" i="7"/>
  <c r="C23" i="7"/>
  <c r="E21" i="7"/>
  <c r="D19" i="7"/>
  <c r="F17" i="7"/>
  <c r="C6" i="7"/>
  <c r="E103" i="7"/>
  <c r="F101" i="7"/>
  <c r="F99" i="7"/>
  <c r="C66" i="7"/>
  <c r="B64" i="7"/>
  <c r="B58" i="7"/>
  <c r="C56" i="7"/>
  <c r="B54" i="7"/>
  <c r="C52" i="7"/>
  <c r="C50" i="7"/>
  <c r="C48" i="7"/>
  <c r="E46" i="7"/>
  <c r="E44" i="7"/>
  <c r="E42" i="7"/>
  <c r="C40" i="7"/>
  <c r="D38" i="7"/>
  <c r="E36" i="7"/>
  <c r="E34" i="7"/>
  <c r="F32" i="7"/>
  <c r="D103" i="7"/>
  <c r="E101" i="7"/>
  <c r="E99" i="7"/>
  <c r="B66" i="7"/>
  <c r="B56" i="7"/>
  <c r="B52" i="7"/>
  <c r="B48" i="7"/>
  <c r="D46" i="7"/>
  <c r="D44" i="7"/>
  <c r="B42" i="7"/>
  <c r="C38" i="7"/>
  <c r="D36" i="7"/>
  <c r="D34" i="7"/>
  <c r="E32" i="7"/>
  <c r="B23" i="7"/>
  <c r="D21" i="7"/>
  <c r="B19" i="7"/>
  <c r="E17" i="7"/>
  <c r="F15" i="7"/>
  <c r="B6" i="7"/>
  <c r="C103" i="7"/>
  <c r="D101" i="7"/>
  <c r="D99" i="7"/>
  <c r="F97" i="7"/>
  <c r="F95" i="7"/>
  <c r="E93" i="7"/>
  <c r="C46" i="7"/>
  <c r="B44" i="7"/>
  <c r="B38" i="7"/>
  <c r="C36" i="7"/>
  <c r="B34" i="7"/>
  <c r="D32" i="7"/>
  <c r="F30" i="7"/>
  <c r="D17" i="7"/>
  <c r="E15" i="7"/>
  <c r="F13" i="7"/>
  <c r="B103" i="7"/>
  <c r="C101" i="7"/>
  <c r="B99" i="7"/>
  <c r="E97" i="7"/>
  <c r="E95" i="7"/>
  <c r="D93" i="7"/>
  <c r="F91" i="7"/>
  <c r="E89" i="7"/>
  <c r="F87" i="7"/>
  <c r="F85" i="7"/>
  <c r="E83" i="7"/>
  <c r="F81" i="7"/>
  <c r="F79" i="7"/>
  <c r="B101" i="7"/>
  <c r="D97" i="7"/>
  <c r="D95" i="7"/>
  <c r="C93" i="7"/>
  <c r="C91" i="7"/>
  <c r="D89" i="7"/>
  <c r="E87" i="7"/>
  <c r="E85" i="7"/>
  <c r="D83" i="7"/>
  <c r="E81" i="7"/>
  <c r="E79" i="7"/>
  <c r="B36" i="7"/>
  <c r="C32" i="7"/>
  <c r="E28" i="7"/>
  <c r="B16" i="7"/>
  <c r="D12" i="7"/>
  <c r="B32" i="7"/>
  <c r="D28" i="7"/>
  <c r="C12" i="7"/>
  <c r="B29" i="7"/>
  <c r="C41" i="7"/>
  <c r="E37" i="7"/>
  <c r="C13" i="7"/>
  <c r="D13" i="7"/>
  <c r="D27" i="7"/>
  <c r="D15" i="7"/>
  <c r="F11" i="7"/>
  <c r="D25" i="7"/>
  <c r="E35" i="7"/>
  <c r="B39" i="7"/>
  <c r="B31" i="7"/>
  <c r="C27" i="7"/>
  <c r="B22" i="7"/>
  <c r="C15" i="7"/>
  <c r="C17" i="7"/>
  <c r="B43" i="7"/>
  <c r="B15" i="7"/>
  <c r="B17" i="7"/>
  <c r="C47" i="7"/>
  <c r="F26" i="7"/>
  <c r="D18" i="7"/>
  <c r="E10" i="7"/>
  <c r="C57" i="7"/>
  <c r="E30" i="7"/>
  <c r="D10" i="7"/>
  <c r="C30" i="7"/>
  <c r="D30" i="7"/>
  <c r="C5" i="7"/>
  <c r="E25" i="7"/>
  <c r="B46" i="7"/>
  <c r="E13" i="7"/>
  <c r="C20" i="7"/>
  <c r="F8" i="7"/>
  <c r="C45" i="7"/>
  <c r="E8" i="7"/>
  <c r="C55" i="7"/>
  <c r="F28" i="7"/>
  <c r="C16" i="7"/>
  <c r="E33" i="7"/>
</calcChain>
</file>

<file path=xl/sharedStrings.xml><?xml version="1.0" encoding="utf-8"?>
<sst xmlns="http://schemas.openxmlformats.org/spreadsheetml/2006/main" count="1020" uniqueCount="403">
  <si>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</si>
  <si>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</si>
  <si>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</si>
  <si>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</si>
  <si>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</si>
  <si>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</si>
  <si>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</si>
  <si>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</si>
  <si>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</si>
  <si>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</si>
  <si>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</si>
  <si>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</si>
  <si>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</si>
  <si>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</si>
  <si>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</si>
  <si>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</si>
  <si>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</si>
  <si>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</si>
  <si>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</si>
  <si>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</si>
  <si>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</si>
  <si>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</si>
  <si>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</si>
  <si>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</si>
  <si>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</si>
  <si>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</si>
  <si>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</si>
  <si>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</si>
  <si>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</si>
  <si>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</si>
  <si>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</si>
  <si>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</si>
  <si>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</si>
  <si>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</si>
  <si>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</si>
  <si>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</si>
  <si>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</si>
  <si>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</si>
  <si>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</si>
  <si>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</si>
  <si>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</si>
  <si>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</si>
  <si>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</si>
  <si>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</si>
  <si>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</si>
  <si>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</si>
  <si>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</si>
  <si>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</si>
  <si>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</si>
  <si>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</si>
  <si>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</si>
  <si>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</si>
  <si>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</si>
  <si>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</si>
  <si>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</si>
  <si>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</si>
  <si>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</si>
  <si>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</si>
  <si>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</si>
  <si>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Team</t>
  </si>
  <si>
    <t>Group</t>
  </si>
  <si>
    <t>Mexico</t>
  </si>
  <si>
    <t>Group A</t>
  </si>
  <si>
    <t>South Africa</t>
  </si>
  <si>
    <t>South Korea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</si>
  <si>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</si>
  <si>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</si>
  <si>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</si>
  <si>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</si>
  <si>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</si>
  <si>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</si>
  <si>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</si>
  <si>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</si>
  <si>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</si>
  <si>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</si>
  <si>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</si>
  <si>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</si>
  <si>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</si>
  <si>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</si>
  <si>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</si>
  <si>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</si>
  <si>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</si>
  <si>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</si>
  <si>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</si>
  <si>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</si>
  <si>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</si>
  <si>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</si>
  <si>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</si>
  <si>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</si>
  <si>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</si>
  <si>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</si>
  <si>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</si>
  <si>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</si>
  <si>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</si>
  <si>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</si>
  <si>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</si>
  <si>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</si>
  <si>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</si>
  <si>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</si>
  <si>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</si>
  <si>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</si>
  <si>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</si>
  <si>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</si>
  <si>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</si>
  <si>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</si>
  <si>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</si>
  <si>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</si>
  <si>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</si>
  <si>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</si>
  <si>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</si>
  <si>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</si>
  <si>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</si>
  <si>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</si>
  <si>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</si>
  <si>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</si>
  <si>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</si>
  <si>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</si>
  <si>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</si>
  <si>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</si>
  <si>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</si>
  <si>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</si>
  <si>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</si>
  <si>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</si>
  <si>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</si>
  <si>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</si>
  <si>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James Wilson</t>
  </si>
  <si>
    <t>Kylian Mbappé</t>
  </si>
  <si>
    <t>Sarah Chen</t>
  </si>
  <si>
    <t>Lionel Messi</t>
  </si>
  <si>
    <t>Michael O'Brien</t>
  </si>
  <si>
    <t>Erling Haaland</t>
  </si>
  <si>
    <t>Emma Thompson</t>
  </si>
  <si>
    <t>Vinícius Júnior</t>
  </si>
  <si>
    <t>David Kumar</t>
  </si>
  <si>
    <t>Harry Kane</t>
  </si>
  <si>
    <t>Rachel Stewart</t>
  </si>
  <si>
    <t>Mohamed Salah</t>
  </si>
  <si>
    <t>Chris Martinez</t>
  </si>
  <si>
    <t>Jude Bellingham</t>
  </si>
  <si>
    <t>Jessica Park</t>
  </si>
  <si>
    <t>Lamine Yamal</t>
  </si>
  <si>
    <t>Andrew Collins</t>
  </si>
  <si>
    <t>Bukayo Saka</t>
  </si>
  <si>
    <t>Laura Bennett</t>
  </si>
  <si>
    <t>Victor Osimhen</t>
  </si>
  <si>
    <t>Tom Nguyen</t>
  </si>
  <si>
    <t>Cristiano Ronaldo</t>
  </si>
  <si>
    <t>Sophie Williams</t>
  </si>
  <si>
    <t>Robert Lewandowski</t>
  </si>
  <si>
    <t>Ryan O'Connor</t>
  </si>
  <si>
    <t>Darwin Núñez</t>
  </si>
  <si>
    <t>Hannah Lee</t>
  </si>
  <si>
    <t>Julian Álvarez</t>
  </si>
  <si>
    <t>Mark Davidson</t>
  </si>
  <si>
    <t>Romelu Lukaku</t>
  </si>
  <si>
    <t>Priya Sharma</t>
  </si>
  <si>
    <t>Cody Gakpo</t>
  </si>
  <si>
    <t>Luke Anderson</t>
  </si>
  <si>
    <t>Alexander Isak</t>
  </si>
  <si>
    <t>Megan Taylor</t>
  </si>
  <si>
    <t>Randal Kolo Muani</t>
  </si>
  <si>
    <t>Daniel Brown</t>
  </si>
  <si>
    <t>Kai Havertz</t>
  </si>
  <si>
    <t>Olivia White</t>
  </si>
  <si>
    <t>Dusan Vlahovic</t>
  </si>
  <si>
    <t>Nathan Scott</t>
  </si>
  <si>
    <t>Rasmus Højlund</t>
  </si>
  <si>
    <t>Amy Richardson</t>
  </si>
  <si>
    <t>Ollie Watkins</t>
  </si>
  <si>
    <t>Ben Harper</t>
  </si>
  <si>
    <t>Lautaro Martínez</t>
  </si>
  <si>
    <t>Chloe Morgan</t>
  </si>
  <si>
    <t>Florian Wirtz</t>
  </si>
  <si>
    <t>Sam Mitchell</t>
  </si>
  <si>
    <t>Son Heung-min</t>
  </si>
  <si>
    <t>Emily Zhang</t>
  </si>
  <si>
    <t>Marcus Rashford</t>
  </si>
  <si>
    <t>Jake Turner</t>
  </si>
  <si>
    <t>Antoine Griezmann</t>
  </si>
  <si>
    <t>Fiona Campbell</t>
  </si>
  <si>
    <t>Serhou Guirassy</t>
  </si>
  <si>
    <t>Alex Patel</t>
  </si>
  <si>
    <t>Álvaro Morata</t>
  </si>
  <si>
    <t>Grace Murphy</t>
  </si>
  <si>
    <t>Ademola Lookman</t>
  </si>
  <si>
    <t>Owen Phillips</t>
  </si>
  <si>
    <t>Jonathan David</t>
  </si>
  <si>
    <t>Zoe Carter</t>
  </si>
  <si>
    <t>Luis Díaz</t>
  </si>
  <si>
    <t>Liam Hughes</t>
  </si>
  <si>
    <t>Memphis Depay</t>
  </si>
  <si>
    <t>Isabella Ross</t>
  </si>
  <si>
    <t>Nicolas Jackson</t>
  </si>
  <si>
    <t>Ethan Wright</t>
  </si>
  <si>
    <t>Islam Slimani</t>
  </si>
  <si>
    <t>Charlotte King</t>
  </si>
  <si>
    <t>Mehdi Taremi</t>
  </si>
  <si>
    <t>Josh Evans</t>
  </si>
  <si>
    <t>Rafael Leão</t>
  </si>
  <si>
    <t>Katie Adams</t>
  </si>
  <si>
    <t>Artem Dovbyk</t>
  </si>
  <si>
    <t>Will Jackson</t>
  </si>
  <si>
    <t>Viktor Gyökeres</t>
  </si>
  <si>
    <t>Natalie Green</t>
  </si>
  <si>
    <t>Matheus Cunha</t>
  </si>
  <si>
    <t>Harry Cooper</t>
  </si>
  <si>
    <t>Saleh Al-Shehri</t>
  </si>
  <si>
    <t>Rebecca Hall</t>
  </si>
  <si>
    <t>Sadio Mané</t>
  </si>
  <si>
    <t>Finn O'Sullivan</t>
  </si>
  <si>
    <t>Achraf Hakimi</t>
  </si>
  <si>
    <t>Ella Dixon</t>
  </si>
  <si>
    <t>Bryan Mbeumo</t>
  </si>
  <si>
    <t>Patrick Ward</t>
  </si>
  <si>
    <t>Amine Harit</t>
  </si>
  <si>
    <t>Amber Long</t>
  </si>
  <si>
    <t>Tim Weah</t>
  </si>
  <si>
    <t>Callum Fraser</t>
  </si>
  <si>
    <t>Alphonso Davies</t>
  </si>
  <si>
    <t>Molly Price</t>
  </si>
  <si>
    <t>Santiago Giménez</t>
  </si>
  <si>
    <t>Declan Burke</t>
  </si>
  <si>
    <t>Mathys Tel</t>
  </si>
  <si>
    <t>Sienna Cole</t>
  </si>
  <si>
    <t>Donyell Malen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</si>
  <si>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</si>
  <si>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</si>
  <si>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</si>
  <si>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</si>
  <si>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Cycle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</si>
  <si>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</si>
  <si>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</si>
  <si>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</si>
  <si>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</si>
  <si>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</si>
  <si>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</si>
  <si>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</si>
  <si>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</si>
  <si>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</si>
  <si>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</si>
  <si>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</si>
  <si>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</si>
  <si>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</si>
  <si>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</si>
  <si>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</si>
  <si>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</si>
  <si>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</si>
  <si>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</si>
  <si>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</si>
  <si>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</si>
  <si>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</si>
  <si>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</si>
  <si>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</si>
  <si>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</si>
  <si>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</si>
  <si>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</si>
  <si>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</si>
  <si>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</si>
  <si>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</si>
  <si>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</si>
  <si>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</si>
  <si>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</si>
  <si>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</si>
  <si>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</si>
  <si>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</si>
  <si>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</si>
  <si>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</si>
  <si>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</si>
  <si>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</si>
  <si>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</si>
  <si>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</si>
  <si>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</si>
  <si>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</si>
  <si>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</si>
  <si>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</si>
  <si>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</si>
  <si>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</si>
  <si>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</si>
  <si>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</si>
  <si>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</si>
  <si>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</si>
  <si>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</si>
  <si>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</si>
  <si>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</si>
  <si>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</si>
  <si>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</si>
  <si>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</si>
  <si>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</si>
  <si>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</si>
  <si>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</si>
  <si>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</si>
  <si>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</si>
  <si>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</si>
  <si>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</si>
  <si>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</si>
  <si>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</si>
  <si>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</si>
  <si>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</si>
  <si>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</si>
  <si>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</si>
  <si>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</si>
  <si>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</si>
  <si>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</si>
  <si>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</si>
  <si>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</si>
  <si>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</si>
  <si>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</si>
  <si>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</si>
  <si>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</si>
  <si>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</si>
  <si>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</si>
  <si>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</si>
  <si>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</si>
  <si>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</si>
  <si>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</si>
  <si>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</si>
  <si>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</si>
  <si>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</si>
  <si>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</si>
  <si>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</si>
  <si>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</si>
  <si>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</si>
  <si>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</si>
  <si>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</si>
  <si>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</si>
  <si>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</si>
  <si>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</si>
  <si>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</si>
  <si>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</si>
  <si>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</si>
  <si>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</si>
  <si>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</si>
  <si>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</si>
  <si>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</si>
  <si>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</si>
  <si>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</si>
  <si>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</si>
  <si>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</si>
  <si>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</si>
  <si>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</si>
  <si>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</si>
  <si>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</si>
  <si>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</si>
  <si>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</si>
  <si>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</si>
  <si>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</si>
  <si>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</si>
  <si>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</si>
  <si>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</si>
  <si>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</si>
  <si>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</si>
  <si>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</si>
  <si>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</si>
  <si>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</si>
  <si>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</si>
  <si>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</si>
  <si>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</si>
  <si>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</si>
  <si>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</si>
  <si>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</si>
  <si>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</si>
  <si>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</si>
  <si>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</si>
  <si>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</si>
  <si>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</si>
  <si>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</si>
  <si>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</si>
  <si>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</si>
  <si>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</si>
  <si>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</si>
  <si>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</si>
  <si>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Rank</t>
  </si>
  <si>
    <t>Participant</t>
  </si>
  <si>
    <t>Team(s)</t>
  </si>
  <si>
    <t>Total Points</t>
  </si>
  <si>
    <t>Wins</t>
  </si>
  <si>
    <t>Draws</t>
  </si>
  <si>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</si>
  <si>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</si>
  <si>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</si>
  <si>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</si>
  <si>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</si>
  <si>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</si>
  <si>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</si>
  <si>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</si>
  <si>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Goals</t>
  </si>
  <si>
    <t>Player</t>
  </si>
  <si>
    <t>Nominated Player</t>
  </si>
  <si>
    <t>Player Goals</t>
  </si>
  <si>
    <t>Nomination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</si>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</sst>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0</v>
      </c>
    </row>
    <row r="3" spans="1:1" x14ac:dyDescent="0.25">
      <c r="A3" s="2" t="s">
        <v>1</v>
      </c>
    </row>
    <row r="5" spans="1:1" x14ac:dyDescent="0.25">
      <c r="A5" s="2" t="s">
        <v>2</v>
      </c>
    </row>
    <row r="6" spans="1:1" x14ac:dyDescent="0.25">
      <c r="A6" t="s">
        <v>3</v>
      </c>
    </row>
    <row r="7" spans="1:1" x14ac:dyDescent="0.25">
      <c r="A7" t="s">
        <v>4</v>
      </c>
    </row>
    <row r="8" spans="1:1" x14ac:dyDescent="0.25">
      <c r="A8" t="s">
        <v>5</v>
      </c>
    </row>
    <row r="10" spans="1:1" x14ac:dyDescent="0.25">
      <c r="A10" s="2" t="s">
        <v>6</v>
      </c>
    </row>
    <row r="11" spans="1:1" x14ac:dyDescent="0.25">
      <c r="A11" t="s">
        <v>7</v>
      </c>
    </row>
    <row r="12" spans="1:1" x14ac:dyDescent="0.25">
      <c r="A12" t="s">
        <v>8</v>
      </c>
    </row>
    <row r="13" spans="1:1" x14ac:dyDescent="0.25">
      <c r="A13" t="s">
        <v>9</v>
      </c>
    </row>
    <row r="14" spans="1:1" x14ac:dyDescent="0.25">
      <c r="A14" t="s">
        <v>10</v>
      </c>
    </row>
    <row r="15" spans="1:1" x14ac:dyDescent="0.25">
      <c r="A15" t="s">
        <v>11</v>
      </c>
    </row>
    <row r="16" spans="1:1" x14ac:dyDescent="0.25">
      <c r="A16" t="s">
        <v>12</v>
      </c>
    </row>
    <row r="18" spans="1:1" x14ac:dyDescent="0.25">
      <c r="A18" s="2" t="s">
        <v>13</v>
      </c>
    </row>
    <row r="19" spans="1:1" x14ac:dyDescent="0.25">
      <c r="A19" t="s">
        <v>14</v>
      </c>
    </row>
    <row r="20" spans="1:1" x14ac:dyDescent="0.25">
      <c r="A20" t="s">
        <v>15</v>
      </c>
    </row>
    <row r="21" spans="1:1" x14ac:dyDescent="0.25">
      <c r="A21" t="s">
        <v>16</v>
      </c>
    </row>
    <row r="23" spans="1:1" x14ac:dyDescent="0.25">
      <c r="A23" s="2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20</v>
      </c>
    </row>
    <row r="28" spans="1:1" x14ac:dyDescent="0.25">
      <c r="A28" s="2" t="s">
        <v>21</v>
      </c>
    </row>
    <row r="29" spans="1:1" x14ac:dyDescent="0.25">
      <c r="A29" t="s">
        <v>22</v>
      </c>
    </row>
    <row r="30" spans="1:1" x14ac:dyDescent="0.25">
      <c r="A30" t="s">
        <v>23</v>
      </c>
    </row>
    <row r="31" spans="1:1" x14ac:dyDescent="0.25">
      <c r="A31" t="s">
        <v>24</v>
      </c>
    </row>
    <row r="32" spans="1:1" x14ac:dyDescent="0.25">
      <c r="A32" t="s">
        <v>25</v>
      </c>
    </row>
    <row r="33" spans="1:1" x14ac:dyDescent="0.25">
      <c r="A33" t="s">
        <v>26</v>
      </c>
    </row>
    <row r="34" spans="1:1" x14ac:dyDescent="0.25">
      <c r="A34" t="s">
        <v>27</v>
      </c>
    </row>
    <row r="36" spans="1:1" x14ac:dyDescent="0.25">
      <c r="A36" s="2" t="s">
        <v>28</v>
      </c>
    </row>
    <row r="37" spans="1:1" x14ac:dyDescent="0.25">
      <c r="A37" t="s">
        <v>29</v>
      </c>
    </row>
    <row r="38" spans="1:1" x14ac:dyDescent="0.25">
      <c r="A38" t="s">
        <v>30</v>
      </c>
    </row>
    <row r="39" spans="1:1" x14ac:dyDescent="0.25">
      <c r="A39" t="s">
        <v>31</v>
      </c>
    </row>
    <row r="40" spans="1:1" x14ac:dyDescent="0.25">
      <c r="A40" t="s">
        <v>32</v>
      </c>
    </row>
    <row r="41" spans="1:1" x14ac:dyDescent="0.25">
      <c r="A41" t="s">
        <v>33</v>
      </c>
    </row>
    <row r="42" spans="1:1" x14ac:dyDescent="0.25">
      <c r="A42" t="s">
        <v>34</v>
      </c>
    </row>
    <row r="43" spans="1:1" x14ac:dyDescent="0.25">
      <c r="A43" t="s">
        <v>35</v>
      </c>
    </row>
    <row r="44" spans="1:1" x14ac:dyDescent="0.25">
      <c r="A44" t="s">
        <v>36</v>
      </c>
    </row>
    <row r="45" spans="1:1" x14ac:dyDescent="0.25">
      <c r="A45" t="s">
        <v>37</v>
      </c>
    </row>
    <row r="46" spans="1:1" x14ac:dyDescent="0.25">
      <c r="A46" t="s">
        <v>38</v>
      </c>
    </row>
    <row r="47" spans="1:1" x14ac:dyDescent="0.25">
      <c r="A47" t="s">
        <v>39</v>
      </c>
    </row>
    <row r="48" spans="1:1" x14ac:dyDescent="0.25">
      <c r="A48" t="s">
        <v>40</v>
      </c>
    </row>
    <row r="50" spans="1:1" x14ac:dyDescent="0.25">
      <c r="A50" s="2" t="s">
        <v>41</v>
      </c>
    </row>
    <row r="51" spans="1:1" x14ac:dyDescent="0.25">
      <c r="A51" t="s">
        <v>42</v>
      </c>
    </row>
    <row r="52" spans="1:1" x14ac:dyDescent="0.25">
      <c r="A52" t="s">
        <v>43</v>
      </c>
    </row>
    <row r="53" spans="1:1" x14ac:dyDescent="0.25">
      <c r="A53" t="s">
        <v>44</v>
      </c>
    </row>
    <row r="54" spans="1:1" x14ac:dyDescent="0.25">
      <c r="A54" t="s">
        <v>45</v>
      </c>
    </row>
    <row r="55" spans="1:1" x14ac:dyDescent="0.25">
      <c r="A55" t="s">
        <v>46</v>
      </c>
    </row>
    <row r="57" spans="1:1" x14ac:dyDescent="0.25">
      <c r="A57" s="2" t="s">
        <v>47</v>
      </c>
    </row>
    <row r="58" spans="1:1" x14ac:dyDescent="0.25">
      <c r="A58" t="s">
        <v>48</v>
      </c>
    </row>
    <row r="59" spans="1:1" x14ac:dyDescent="0.25">
      <c r="A59" t="s">
        <v>49</v>
      </c>
    </row>
    <row r="60" spans="1:1" x14ac:dyDescent="0.25">
      <c r="A60" t="s">
        <v>50</v>
      </c>
    </row>
    <row r="61" spans="1:1" x14ac:dyDescent="0.25">
      <c r="A61" t="s">
        <v>51</v>
      </c>
    </row>
    <row r="63" spans="1:1" x14ac:dyDescent="0.25">
      <c r="A63" s="2" t="s">
        <v>52</v>
      </c>
    </row>
    <row r="64" spans="1:1" x14ac:dyDescent="0.25">
      <c r="A64" t="s">
        <v>53</v>
      </c>
    </row>
    <row r="65" spans="1:1" x14ac:dyDescent="0.25">
      <c r="A65" t="s">
        <v>54</v>
      </c>
    </row>
    <row r="66" spans="1:1" x14ac:dyDescent="0.25">
      <c r="A66" t="s">
        <v>55</v>
      </c>
    </row>
    <row r="67" spans="1:1" x14ac:dyDescent="0.25">
      <c r="A67" t="s">
        <v>56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1"/>
  <sheetViews>
    <sheetView workbookViewId="0">
      <selection activeCell="B8" sqref="B8"/>
    </sheetView>
  </sheetViews>
  <sheetFormatPr defaultRowHeight="15" x14ac:dyDescent="0.25"/>
  <cols>
    <col min="1" max="1" width="35" customWidth="1"/>
    <col min="2" max="2" width="25" customWidth="1"/>
    <col min="3" max="3" width="10" customWidth="1"/>
  </cols>
  <sheetData>
    <row r="1" spans="1:3" ht="18.75" customHeight="1" x14ac:dyDescent="0.3">
      <c r="A1" s="1" t="s">
        <v>57</v>
      </c>
    </row>
    <row r="3" spans="1:3" x14ac:dyDescent="0.25">
      <c r="A3" s="3" t="s">
        <v>58</v>
      </c>
      <c r="B3" s="3" t="s">
        <v>59</v>
      </c>
      <c r="C3" s="3" t="s">
        <v>60</v>
      </c>
    </row>
    <row r="4" spans="1:3" x14ac:dyDescent="0.25">
      <c r="A4" s="4">
        <v>1</v>
      </c>
      <c r="B4" s="4" t="s">
        <v>61</v>
      </c>
      <c r="C4" s="4" t="s">
        <v>62</v>
      </c>
    </row>
    <row r="5" spans="1:3" x14ac:dyDescent="0.25">
      <c r="A5" s="4">
        <v>2</v>
      </c>
      <c r="B5" s="4" t="s">
        <v>63</v>
      </c>
      <c r="C5" s="4" t="s">
        <v>62</v>
      </c>
    </row>
    <row r="6" spans="1:3" x14ac:dyDescent="0.25">
      <c r="A6" s="4">
        <v>3</v>
      </c>
      <c r="B6" s="4" t="s">
        <v>64</v>
      </c>
      <c r="C6" s="4" t="s">
        <v>62</v>
      </c>
    </row>
    <row r="7" spans="1:3" x14ac:dyDescent="0.25">
      <c r="A7" s="4">
        <v>4</v>
      </c>
      <c r="B7" s="4" t="s">
        <v>65</v>
      </c>
      <c r="C7" s="4" t="s">
        <v>62</v>
      </c>
    </row>
    <row r="8" spans="1:3" x14ac:dyDescent="0.25">
      <c r="A8" s="5">
        <v>5</v>
      </c>
      <c r="B8" s="5" t="s">
        <v>66</v>
      </c>
      <c r="C8" s="5" t="s">
        <v>67</v>
      </c>
    </row>
    <row r="9" spans="1:3" x14ac:dyDescent="0.25">
      <c r="A9" s="5">
        <v>6</v>
      </c>
      <c r="B9" s="5" t="s">
        <v>68</v>
      </c>
      <c r="C9" s="5" t="s">
        <v>67</v>
      </c>
    </row>
    <row r="10" spans="1:3" x14ac:dyDescent="0.25">
      <c r="A10" s="5">
        <v>7</v>
      </c>
      <c r="B10" s="5" t="s">
        <v>69</v>
      </c>
      <c r="C10" s="5" t="s">
        <v>67</v>
      </c>
    </row>
    <row r="11" spans="1:3" x14ac:dyDescent="0.25">
      <c r="A11" s="5">
        <v>8</v>
      </c>
      <c r="B11" s="5" t="s">
        <v>70</v>
      </c>
      <c r="C11" s="5" t="s">
        <v>67</v>
      </c>
    </row>
    <row r="12" spans="1:3" x14ac:dyDescent="0.25">
      <c r="A12" s="6">
        <v>9</v>
      </c>
      <c r="B12" s="6" t="s">
        <v>71</v>
      </c>
      <c r="C12" s="6" t="s">
        <v>72</v>
      </c>
    </row>
    <row r="13" spans="1:3" x14ac:dyDescent="0.25">
      <c r="A13" s="6">
        <v>10</v>
      </c>
      <c r="B13" s="6" t="s">
        <v>73</v>
      </c>
      <c r="C13" s="6" t="s">
        <v>72</v>
      </c>
    </row>
    <row r="14" spans="1:3" x14ac:dyDescent="0.25">
      <c r="A14" s="6">
        <v>11</v>
      </c>
      <c r="B14" s="6" t="s">
        <v>74</v>
      </c>
      <c r="C14" s="6" t="s">
        <v>72</v>
      </c>
    </row>
    <row r="15" spans="1:3" x14ac:dyDescent="0.25">
      <c r="A15" s="6">
        <v>12</v>
      </c>
      <c r="B15" s="6" t="s">
        <v>75</v>
      </c>
      <c r="C15" s="6" t="s">
        <v>72</v>
      </c>
    </row>
    <row r="16" spans="1:3" x14ac:dyDescent="0.25">
      <c r="A16" s="7">
        <v>13</v>
      </c>
      <c r="B16" s="7" t="s">
        <v>76</v>
      </c>
      <c r="C16" s="7" t="s">
        <v>77</v>
      </c>
    </row>
    <row r="17" spans="1:3" x14ac:dyDescent="0.25">
      <c r="A17" s="7">
        <v>14</v>
      </c>
      <c r="B17" s="7" t="s">
        <v>78</v>
      </c>
      <c r="C17" s="7" t="s">
        <v>77</v>
      </c>
    </row>
    <row r="18" spans="1:3" x14ac:dyDescent="0.25">
      <c r="A18" s="7">
        <v>15</v>
      </c>
      <c r="B18" s="7" t="s">
        <v>79</v>
      </c>
      <c r="C18" s="7" t="s">
        <v>77</v>
      </c>
    </row>
    <row r="19" spans="1:3" x14ac:dyDescent="0.25">
      <c r="A19" s="7">
        <v>16</v>
      </c>
      <c r="B19" s="7" t="s">
        <v>80</v>
      </c>
      <c r="C19" s="7" t="s">
        <v>77</v>
      </c>
    </row>
    <row r="20" spans="1:3" x14ac:dyDescent="0.25">
      <c r="A20" s="8">
        <v>17</v>
      </c>
      <c r="B20" s="8" t="s">
        <v>81</v>
      </c>
      <c r="C20" s="8" t="s">
        <v>82</v>
      </c>
    </row>
    <row r="21" spans="1:3" x14ac:dyDescent="0.25">
      <c r="A21" s="8">
        <v>18</v>
      </c>
      <c r="B21" s="8" t="s">
        <v>83</v>
      </c>
      <c r="C21" s="8" t="s">
        <v>82</v>
      </c>
    </row>
    <row r="22" spans="1:3" x14ac:dyDescent="0.25">
      <c r="A22" s="8">
        <v>19</v>
      </c>
      <c r="B22" s="8" t="s">
        <v>84</v>
      </c>
      <c r="C22" s="8" t="s">
        <v>82</v>
      </c>
    </row>
    <row r="23" spans="1:3" x14ac:dyDescent="0.25">
      <c r="A23" s="8">
        <v>20</v>
      </c>
      <c r="B23" s="8" t="s">
        <v>85</v>
      </c>
      <c r="C23" s="8" t="s">
        <v>82</v>
      </c>
    </row>
    <row r="24" spans="1:3" x14ac:dyDescent="0.25">
      <c r="A24" s="9">
        <v>21</v>
      </c>
      <c r="B24" s="9" t="s">
        <v>86</v>
      </c>
      <c r="C24" s="9" t="s">
        <v>87</v>
      </c>
    </row>
    <row r="25" spans="1:3" x14ac:dyDescent="0.25">
      <c r="A25" s="9">
        <v>22</v>
      </c>
      <c r="B25" s="9" t="s">
        <v>88</v>
      </c>
      <c r="C25" s="9" t="s">
        <v>87</v>
      </c>
    </row>
    <row r="26" spans="1:3" x14ac:dyDescent="0.25">
      <c r="A26" s="9">
        <v>23</v>
      </c>
      <c r="B26" s="9" t="s">
        <v>89</v>
      </c>
      <c r="C26" s="9" t="s">
        <v>87</v>
      </c>
    </row>
    <row r="27" spans="1:3" x14ac:dyDescent="0.25">
      <c r="A27" s="9">
        <v>24</v>
      </c>
      <c r="B27" s="9" t="s">
        <v>90</v>
      </c>
      <c r="C27" s="9" t="s">
        <v>87</v>
      </c>
    </row>
    <row r="28" spans="1:3" x14ac:dyDescent="0.25">
      <c r="A28" s="10">
        <v>25</v>
      </c>
      <c r="B28" s="10" t="s">
        <v>91</v>
      </c>
      <c r="C28" s="10" t="s">
        <v>92</v>
      </c>
    </row>
    <row r="29" spans="1:3" x14ac:dyDescent="0.25">
      <c r="A29" s="10">
        <v>26</v>
      </c>
      <c r="B29" s="10" t="s">
        <v>93</v>
      </c>
      <c r="C29" s="10" t="s">
        <v>92</v>
      </c>
    </row>
    <row r="30" spans="1:3" x14ac:dyDescent="0.25">
      <c r="A30" s="10">
        <v>27</v>
      </c>
      <c r="B30" s="10" t="s">
        <v>94</v>
      </c>
      <c r="C30" s="10" t="s">
        <v>92</v>
      </c>
    </row>
    <row r="31" spans="1:3" x14ac:dyDescent="0.25">
      <c r="A31" s="10">
        <v>28</v>
      </c>
      <c r="B31" s="10" t="s">
        <v>95</v>
      </c>
      <c r="C31" s="10" t="s">
        <v>92</v>
      </c>
    </row>
    <row r="32" spans="1:3" x14ac:dyDescent="0.25">
      <c r="A32" s="11">
        <v>29</v>
      </c>
      <c r="B32" s="11" t="s">
        <v>96</v>
      </c>
      <c r="C32" s="11" t="s">
        <v>97</v>
      </c>
    </row>
    <row r="33" spans="1:3" x14ac:dyDescent="0.25">
      <c r="A33" s="11">
        <v>30</v>
      </c>
      <c r="B33" s="11" t="s">
        <v>98</v>
      </c>
      <c r="C33" s="11" t="s">
        <v>97</v>
      </c>
    </row>
    <row r="34" spans="1:3" x14ac:dyDescent="0.25">
      <c r="A34" s="11">
        <v>31</v>
      </c>
      <c r="B34" s="11" t="s">
        <v>99</v>
      </c>
      <c r="C34" s="11" t="s">
        <v>97</v>
      </c>
    </row>
    <row r="35" spans="1:3" x14ac:dyDescent="0.25">
      <c r="A35" s="11">
        <v>32</v>
      </c>
      <c r="B35" s="11" t="s">
        <v>100</v>
      </c>
      <c r="C35" s="11" t="s">
        <v>97</v>
      </c>
    </row>
    <row r="36" spans="1:3" x14ac:dyDescent="0.25">
      <c r="A36" s="12">
        <v>33</v>
      </c>
      <c r="B36" s="12" t="s">
        <v>101</v>
      </c>
      <c r="C36" s="12" t="s">
        <v>102</v>
      </c>
    </row>
    <row r="37" spans="1:3" x14ac:dyDescent="0.25">
      <c r="A37" s="12">
        <v>34</v>
      </c>
      <c r="B37" s="12" t="s">
        <v>103</v>
      </c>
      <c r="C37" s="12" t="s">
        <v>102</v>
      </c>
    </row>
    <row r="38" spans="1:3" x14ac:dyDescent="0.25">
      <c r="A38" s="12">
        <v>35</v>
      </c>
      <c r="B38" s="12" t="s">
        <v>104</v>
      </c>
      <c r="C38" s="12" t="s">
        <v>102</v>
      </c>
    </row>
    <row r="39" spans="1:3" x14ac:dyDescent="0.25">
      <c r="A39" s="12">
        <v>36</v>
      </c>
      <c r="B39" s="12" t="s">
        <v>105</v>
      </c>
      <c r="C39" s="12" t="s">
        <v>102</v>
      </c>
    </row>
    <row r="40" spans="1:3" x14ac:dyDescent="0.25">
      <c r="A40" s="13">
        <v>37</v>
      </c>
      <c r="B40" s="13" t="s">
        <v>106</v>
      </c>
      <c r="C40" s="13" t="s">
        <v>107</v>
      </c>
    </row>
    <row r="41" spans="1:3" x14ac:dyDescent="0.25">
      <c r="A41" s="13">
        <v>38</v>
      </c>
      <c r="B41" s="13" t="s">
        <v>108</v>
      </c>
      <c r="C41" s="13" t="s">
        <v>107</v>
      </c>
    </row>
    <row r="42" spans="1:3" x14ac:dyDescent="0.25">
      <c r="A42" s="13">
        <v>39</v>
      </c>
      <c r="B42" s="13" t="s">
        <v>109</v>
      </c>
      <c r="C42" s="13" t="s">
        <v>107</v>
      </c>
    </row>
    <row r="43" spans="1:3" x14ac:dyDescent="0.25">
      <c r="A43" s="13">
        <v>40</v>
      </c>
      <c r="B43" s="13" t="s">
        <v>110</v>
      </c>
      <c r="C43" s="13" t="s">
        <v>107</v>
      </c>
    </row>
    <row r="44" spans="1:3" x14ac:dyDescent="0.25">
      <c r="A44" s="14">
        <v>41</v>
      </c>
      <c r="B44" s="14" t="s">
        <v>111</v>
      </c>
      <c r="C44" s="14" t="s">
        <v>112</v>
      </c>
    </row>
    <row r="45" spans="1:3" x14ac:dyDescent="0.25">
      <c r="A45" s="14">
        <v>42</v>
      </c>
      <c r="B45" s="14" t="s">
        <v>113</v>
      </c>
      <c r="C45" s="14" t="s">
        <v>112</v>
      </c>
    </row>
    <row r="46" spans="1:3" x14ac:dyDescent="0.25">
      <c r="A46" s="14">
        <v>43</v>
      </c>
      <c r="B46" s="14" t="s">
        <v>114</v>
      </c>
      <c r="C46" s="14" t="s">
        <v>112</v>
      </c>
    </row>
    <row r="47" spans="1:3" x14ac:dyDescent="0.25">
      <c r="A47" s="14">
        <v>44</v>
      </c>
      <c r="B47" s="14" t="s">
        <v>115</v>
      </c>
      <c r="C47" s="14" t="s">
        <v>112</v>
      </c>
    </row>
    <row r="48" spans="1:3" x14ac:dyDescent="0.25">
      <c r="A48" s="15">
        <v>45</v>
      </c>
      <c r="B48" s="15" t="s">
        <v>116</v>
      </c>
      <c r="C48" s="15" t="s">
        <v>117</v>
      </c>
    </row>
    <row r="49" spans="1:3" x14ac:dyDescent="0.25">
      <c r="A49" s="15">
        <v>46</v>
      </c>
      <c r="B49" s="15" t="s">
        <v>118</v>
      </c>
      <c r="C49" s="15" t="s">
        <v>117</v>
      </c>
    </row>
    <row r="50" spans="1:3" x14ac:dyDescent="0.25">
      <c r="A50" s="15">
        <v>47</v>
      </c>
      <c r="B50" s="15" t="s">
        <v>119</v>
      </c>
      <c r="C50" s="15" t="s">
        <v>117</v>
      </c>
    </row>
    <row r="51" spans="1:3" x14ac:dyDescent="0.25">
      <c r="A51" s="15">
        <v>48</v>
      </c>
      <c r="B51" s="15" t="s">
        <v>120</v>
      </c>
      <c r="C51" s="15" t="s">
        <v>117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topLeftCell="A4" workbookViewId="0">
      <selection activeCell="C7" sqref="C7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121</v>
      </c>
    </row>
    <row r="2" spans="1:3" x14ac:dyDescent="0.25">
      <c r="A2" s="16" t="s">
        <v>122</v>
      </c>
    </row>
    <row r="4" spans="1:3" x14ac:dyDescent="0.25">
      <c r="A4" s="3" t="s">
        <v>58</v>
      </c>
      <c r="B4" s="3" t="s">
        <v>123</v>
      </c>
      <c r="C4" s="3" t="s">
        <v>124</v>
      </c>
    </row>
    <row r="5" spans="1:3" x14ac:dyDescent="0.25">
      <c r="A5" s="17">
        <v>1</v>
      </c>
      <c r="B5" t="s">
        <v>125</v>
      </c>
      <c r="C5" t="s">
        <v>126</v>
      </c>
    </row>
    <row r="6" spans="1:3" x14ac:dyDescent="0.25">
      <c r="A6" s="17">
        <v>2</v>
      </c>
      <c r="B6" t="s">
        <v>127</v>
      </c>
      <c r="C6" t="s">
        <v>128</v>
      </c>
    </row>
    <row r="7" spans="1:3" x14ac:dyDescent="0.25">
      <c r="A7" s="17">
        <v>3</v>
      </c>
      <c r="B7" t="s">
        <v>129</v>
      </c>
      <c r="C7" t="s">
        <v>130</v>
      </c>
    </row>
    <row r="8" spans="1:3" x14ac:dyDescent="0.25">
      <c r="A8" s="17">
        <v>4</v>
      </c>
      <c r="B8" t="s">
        <v>131</v>
      </c>
      <c r="C8" t="s">
        <v>132</v>
      </c>
    </row>
    <row r="9" spans="1:3" x14ac:dyDescent="0.25">
      <c r="A9" s="17">
        <v>5</v>
      </c>
      <c r="B9" t="s">
        <v>133</v>
      </c>
      <c r="C9" t="s">
        <v>134</v>
      </c>
    </row>
    <row r="10" spans="1:3" x14ac:dyDescent="0.25">
      <c r="A10" s="17">
        <v>6</v>
      </c>
      <c r="B10" t="s">
        <v>135</v>
      </c>
      <c r="C10" t="s">
        <v>136</v>
      </c>
    </row>
    <row r="11" spans="1:3" x14ac:dyDescent="0.25">
      <c r="A11" s="17">
        <v>7</v>
      </c>
      <c r="B11" t="s">
        <v>137</v>
      </c>
      <c r="C11" t="s">
        <v>138</v>
      </c>
    </row>
    <row r="12" spans="1:3" x14ac:dyDescent="0.25">
      <c r="A12" s="17">
        <v>8</v>
      </c>
      <c r="B12" t="s">
        <v>139</v>
      </c>
      <c r="C12" t="s">
        <v>140</v>
      </c>
    </row>
    <row r="13" spans="1:3" x14ac:dyDescent="0.25">
      <c r="A13" s="17">
        <v>9</v>
      </c>
      <c r="B13" t="s">
        <v>141</v>
      </c>
      <c r="C13" t="s">
        <v>142</v>
      </c>
    </row>
    <row r="14" spans="1:3" x14ac:dyDescent="0.25">
      <c r="A14" s="17">
        <v>10</v>
      </c>
      <c r="B14" t="s">
        <v>143</v>
      </c>
      <c r="C14" t="s">
        <v>144</v>
      </c>
    </row>
    <row r="15" spans="1:3" x14ac:dyDescent="0.25">
      <c r="A15" s="17">
        <v>11</v>
      </c>
      <c r="B15" t="s">
        <v>145</v>
      </c>
      <c r="C15" t="s">
        <v>146</v>
      </c>
    </row>
    <row r="16" spans="1:3" x14ac:dyDescent="0.25">
      <c r="A16" s="17">
        <v>12</v>
      </c>
      <c r="B16" t="s">
        <v>147</v>
      </c>
      <c r="C16" t="s">
        <v>148</v>
      </c>
    </row>
    <row r="17" spans="1:3" x14ac:dyDescent="0.25">
      <c r="A17" s="17">
        <v>13</v>
      </c>
      <c r="B17" t="s">
        <v>149</v>
      </c>
      <c r="C17" t="s">
        <v>150</v>
      </c>
    </row>
    <row r="18" spans="1:3" x14ac:dyDescent="0.25">
      <c r="A18" s="17">
        <v>14</v>
      </c>
      <c r="B18" t="s">
        <v>151</v>
      </c>
      <c r="C18" t="s">
        <v>152</v>
      </c>
    </row>
    <row r="19" spans="1:3" x14ac:dyDescent="0.25">
      <c r="A19" s="17">
        <v>15</v>
      </c>
      <c r="B19" t="s">
        <v>153</v>
      </c>
      <c r="C19" t="s">
        <v>154</v>
      </c>
    </row>
    <row r="20" spans="1:3" x14ac:dyDescent="0.25">
      <c r="A20" s="17">
        <v>16</v>
      </c>
      <c r="B20" t="s">
        <v>155</v>
      </c>
      <c r="C20" t="s">
        <v>156</v>
      </c>
    </row>
    <row r="21" spans="1:3" x14ac:dyDescent="0.25">
      <c r="A21" s="17">
        <v>17</v>
      </c>
      <c r="B21" t="s">
        <v>157</v>
      </c>
      <c r="C21" t="s">
        <v>158</v>
      </c>
    </row>
    <row r="22" spans="1:3" x14ac:dyDescent="0.25">
      <c r="A22" s="17">
        <v>18</v>
      </c>
      <c r="B22" t="s">
        <v>159</v>
      </c>
      <c r="C22" t="s">
        <v>160</v>
      </c>
    </row>
    <row r="23" spans="1:3" x14ac:dyDescent="0.25">
      <c r="A23" s="17">
        <v>19</v>
      </c>
      <c r="B23" t="s">
        <v>161</v>
      </c>
      <c r="C23" t="s">
        <v>162</v>
      </c>
    </row>
    <row r="24" spans="1:3" x14ac:dyDescent="0.25">
      <c r="A24" s="17">
        <v>20</v>
      </c>
      <c r="B24" t="s">
        <v>163</v>
      </c>
      <c r="C24" t="s">
        <v>164</v>
      </c>
    </row>
    <row r="25" spans="1:3" x14ac:dyDescent="0.25">
      <c r="A25" s="17">
        <v>21</v>
      </c>
      <c r="B25" t="s">
        <v>165</v>
      </c>
      <c r="C25" t="s">
        <v>166</v>
      </c>
    </row>
    <row r="26" spans="1:3" x14ac:dyDescent="0.25">
      <c r="A26" s="17">
        <v>22</v>
      </c>
      <c r="B26" t="s">
        <v>167</v>
      </c>
      <c r="C26" t="s">
        <v>168</v>
      </c>
    </row>
    <row r="27" spans="1:3" x14ac:dyDescent="0.25">
      <c r="A27" s="17">
        <v>23</v>
      </c>
      <c r="B27" t="s">
        <v>169</v>
      </c>
      <c r="C27" t="s">
        <v>170</v>
      </c>
    </row>
    <row r="28" spans="1:3" x14ac:dyDescent="0.25">
      <c r="A28" s="17">
        <v>24</v>
      </c>
      <c r="B28" t="s">
        <v>171</v>
      </c>
      <c r="C28" t="s">
        <v>172</v>
      </c>
    </row>
    <row r="29" spans="1:3" x14ac:dyDescent="0.25">
      <c r="A29" s="17">
        <v>25</v>
      </c>
      <c r="B29" t="s">
        <v>173</v>
      </c>
      <c r="C29" t="s">
        <v>174</v>
      </c>
    </row>
    <row r="30" spans="1:3" x14ac:dyDescent="0.25">
      <c r="A30" s="17">
        <v>26</v>
      </c>
      <c r="B30" t="s">
        <v>175</v>
      </c>
      <c r="C30" t="s">
        <v>176</v>
      </c>
    </row>
    <row r="31" spans="1:3" x14ac:dyDescent="0.25">
      <c r="A31" s="17">
        <v>27</v>
      </c>
      <c r="B31" t="s">
        <v>177</v>
      </c>
      <c r="C31" t="s">
        <v>178</v>
      </c>
    </row>
    <row r="32" spans="1:3" x14ac:dyDescent="0.25">
      <c r="A32" s="17">
        <v>28</v>
      </c>
      <c r="B32" t="s">
        <v>179</v>
      </c>
      <c r="C32" t="s">
        <v>180</v>
      </c>
    </row>
    <row r="33" spans="1:3" x14ac:dyDescent="0.25">
      <c r="A33" s="17">
        <v>29</v>
      </c>
      <c r="B33" t="s">
        <v>181</v>
      </c>
      <c r="C33" t="s">
        <v>182</v>
      </c>
    </row>
    <row r="34" spans="1:3" x14ac:dyDescent="0.25">
      <c r="A34" s="17">
        <v>30</v>
      </c>
      <c r="B34" t="s">
        <v>183</v>
      </c>
      <c r="C34" t="s">
        <v>184</v>
      </c>
    </row>
    <row r="35" spans="1:3" x14ac:dyDescent="0.25">
      <c r="A35" s="17">
        <v>31</v>
      </c>
      <c r="B35" t="s">
        <v>185</v>
      </c>
      <c r="C35" t="s">
        <v>186</v>
      </c>
    </row>
    <row r="36" spans="1:3" x14ac:dyDescent="0.25">
      <c r="A36" s="17">
        <v>32</v>
      </c>
      <c r="B36" t="s">
        <v>187</v>
      </c>
      <c r="C36" t="s">
        <v>188</v>
      </c>
    </row>
    <row r="37" spans="1:3" x14ac:dyDescent="0.25">
      <c r="A37" s="17">
        <v>33</v>
      </c>
      <c r="B37" t="s">
        <v>189</v>
      </c>
      <c r="C37" t="s">
        <v>190</v>
      </c>
    </row>
    <row r="38" spans="1:3" x14ac:dyDescent="0.25">
      <c r="A38" s="17">
        <v>34</v>
      </c>
      <c r="B38" t="s">
        <v>191</v>
      </c>
      <c r="C38" t="s">
        <v>192</v>
      </c>
    </row>
    <row r="39" spans="1:3" x14ac:dyDescent="0.25">
      <c r="A39" s="17">
        <v>35</v>
      </c>
      <c r="B39" t="s">
        <v>193</v>
      </c>
      <c r="C39" t="s">
        <v>194</v>
      </c>
    </row>
    <row r="40" spans="1:3" x14ac:dyDescent="0.25">
      <c r="A40" s="17">
        <v>36</v>
      </c>
      <c r="B40" t="s">
        <v>195</v>
      </c>
      <c r="C40" t="s">
        <v>196</v>
      </c>
    </row>
    <row r="41" spans="1:3" x14ac:dyDescent="0.25">
      <c r="A41" s="17">
        <v>37</v>
      </c>
      <c r="B41" t="s">
        <v>197</v>
      </c>
      <c r="C41" t="s">
        <v>198</v>
      </c>
    </row>
    <row r="42" spans="1:3" x14ac:dyDescent="0.25">
      <c r="A42" s="17">
        <v>38</v>
      </c>
      <c r="B42" t="s">
        <v>199</v>
      </c>
      <c r="C42" t="s">
        <v>200</v>
      </c>
    </row>
    <row r="43" spans="1:3" x14ac:dyDescent="0.25">
      <c r="A43" s="17">
        <v>39</v>
      </c>
      <c r="B43" t="s">
        <v>201</v>
      </c>
      <c r="C43" t="s">
        <v>202</v>
      </c>
    </row>
    <row r="44" spans="1:3" x14ac:dyDescent="0.25">
      <c r="A44" s="17">
        <v>40</v>
      </c>
      <c r="B44" t="s">
        <v>203</v>
      </c>
      <c r="C44" t="s">
        <v>204</v>
      </c>
    </row>
    <row r="45" spans="1:3" x14ac:dyDescent="0.25">
      <c r="A45" s="17">
        <v>41</v>
      </c>
      <c r="B45" t="s">
        <v>205</v>
      </c>
      <c r="C45" t="s">
        <v>206</v>
      </c>
    </row>
    <row r="46" spans="1:3" x14ac:dyDescent="0.25">
      <c r="A46" s="17">
        <v>42</v>
      </c>
      <c r="B46" t="s">
        <v>207</v>
      </c>
      <c r="C46" t="s">
        <v>208</v>
      </c>
    </row>
    <row r="47" spans="1:3" x14ac:dyDescent="0.25">
      <c r="A47" s="17">
        <v>43</v>
      </c>
      <c r="B47" t="s">
        <v>209</v>
      </c>
      <c r="C47" t="s">
        <v>210</v>
      </c>
    </row>
    <row r="48" spans="1:3" x14ac:dyDescent="0.25">
      <c r="A48" s="17">
        <v>44</v>
      </c>
      <c r="B48" t="s">
        <v>211</v>
      </c>
      <c r="C48" t="s">
        <v>212</v>
      </c>
    </row>
    <row r="49" spans="1:3" x14ac:dyDescent="0.25">
      <c r="A49" s="17">
        <v>45</v>
      </c>
      <c r="B49" t="s">
        <v>213</v>
      </c>
      <c r="C49" t="s">
        <v>214</v>
      </c>
    </row>
    <row r="50" spans="1:3" x14ac:dyDescent="0.25">
      <c r="A50" s="17">
        <v>46</v>
      </c>
      <c r="B50" t="s">
        <v>215</v>
      </c>
      <c r="C50" t="s">
        <v>216</v>
      </c>
    </row>
    <row r="51" spans="1:3" x14ac:dyDescent="0.25">
      <c r="A51" s="17">
        <v>47</v>
      </c>
      <c r="B51" t="s">
        <v>217</v>
      </c>
      <c r="C51" t="s">
        <v>218</v>
      </c>
    </row>
    <row r="52" spans="1:3" x14ac:dyDescent="0.25">
      <c r="A52" s="17">
        <v>48</v>
      </c>
      <c r="B52" t="s">
        <v>219</v>
      </c>
      <c r="C52" t="s">
        <v>220</v>
      </c>
    </row>
    <row r="53" spans="1:3" x14ac:dyDescent="0.25">
      <c r="A53" s="17">
        <v>49</v>
      </c>
      <c r="B53" t="s">
        <v>221</v>
      </c>
      <c r="C53" t="s">
        <v>222</v>
      </c>
    </row>
    <row r="54" spans="1:3" x14ac:dyDescent="0.25">
      <c r="A54" s="17">
        <v>50</v>
      </c>
      <c r="B54" t="s">
        <v>223</v>
      </c>
      <c r="C54" t="s">
        <v>224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5"/>
  <sheetViews>
    <sheetView topLeftCell="A24" workbookViewId="0">
      <selection activeCell="B52" sqref="B52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8" customWidth="1"/>
  </cols>
  <sheetData>
    <row r="1" spans="1:5" ht="18.75" customHeight="1" x14ac:dyDescent="0.3">
      <c r="A1" s="1" t="s">
        <v>225</v>
      </c>
    </row>
    <row r="2" spans="1:5" x14ac:dyDescent="0.25">
      <c r="A2" s="16" t="s">
        <v>226</v>
      </c>
    </row>
    <row r="3" spans="1:5" x14ac:dyDescent="0.25">
      <c r="A3" s="18" t="s">
        <v>227</v>
      </c>
    </row>
    <row r="5" spans="1:5" x14ac:dyDescent="0.25">
      <c r="A5" s="57" t="s">
        <v>58</v>
      </c>
      <c r="B5" s="57" t="s">
        <v>123</v>
      </c>
      <c r="C5" s="57" t="s">
        <v>228</v>
      </c>
      <c r="D5" s="57" t="s">
        <v>60</v>
      </c>
      <c r="E5" s="57" t="s">
        <v>229</v>
      </c>
    </row>
    <row r="6" spans="1:5" x14ac:dyDescent="0.25">
      <c r="A6">
        <v>1</v>
      </c>
      <c r="B6" t="s">
        <v>125</v>
      </c>
      <c r="C6" t="s">
        <v>106</v>
      </c>
      <c r="D6" t="s">
        <v>107</v>
      </c>
      <c r="E6">
        <v>1</v>
      </c>
    </row>
    <row r="7" spans="1:5" x14ac:dyDescent="0.25">
      <c r="A7">
        <v>2</v>
      </c>
      <c r="B7" t="s">
        <v>127</v>
      </c>
      <c r="C7" t="s">
        <v>71</v>
      </c>
      <c r="D7" t="s">
        <v>72</v>
      </c>
      <c r="E7">
        <v>1</v>
      </c>
    </row>
    <row r="8" spans="1:5" x14ac:dyDescent="0.25">
      <c r="A8">
        <v>3</v>
      </c>
      <c r="B8" t="s">
        <v>129</v>
      </c>
      <c r="C8" t="s">
        <v>100</v>
      </c>
      <c r="D8" t="s">
        <v>97</v>
      </c>
      <c r="E8">
        <v>1</v>
      </c>
    </row>
    <row r="9" spans="1:5" x14ac:dyDescent="0.25">
      <c r="A9">
        <v>4</v>
      </c>
      <c r="B9" t="s">
        <v>131</v>
      </c>
      <c r="C9" t="s">
        <v>75</v>
      </c>
      <c r="D9" t="s">
        <v>72</v>
      </c>
      <c r="E9">
        <v>1</v>
      </c>
    </row>
    <row r="10" spans="1:5" x14ac:dyDescent="0.25">
      <c r="A10">
        <v>5</v>
      </c>
      <c r="B10" t="s">
        <v>133</v>
      </c>
      <c r="C10" t="s">
        <v>113</v>
      </c>
      <c r="D10" t="s">
        <v>112</v>
      </c>
      <c r="E10">
        <v>1</v>
      </c>
    </row>
    <row r="11" spans="1:5" x14ac:dyDescent="0.25">
      <c r="A11">
        <v>6</v>
      </c>
      <c r="B11" t="s">
        <v>135</v>
      </c>
      <c r="C11" t="s">
        <v>80</v>
      </c>
      <c r="D11" t="s">
        <v>77</v>
      </c>
      <c r="E11">
        <v>1</v>
      </c>
    </row>
    <row r="12" spans="1:5" x14ac:dyDescent="0.25">
      <c r="A12">
        <v>7</v>
      </c>
      <c r="B12" t="s">
        <v>137</v>
      </c>
      <c r="C12" t="s">
        <v>91</v>
      </c>
      <c r="D12" t="s">
        <v>92</v>
      </c>
      <c r="E12">
        <v>1</v>
      </c>
    </row>
    <row r="13" spans="1:5" x14ac:dyDescent="0.25">
      <c r="A13">
        <v>8</v>
      </c>
      <c r="B13" t="s">
        <v>139</v>
      </c>
      <c r="C13" t="s">
        <v>89</v>
      </c>
      <c r="D13" t="s">
        <v>87</v>
      </c>
      <c r="E13">
        <v>1</v>
      </c>
    </row>
    <row r="14" spans="1:5" x14ac:dyDescent="0.25">
      <c r="A14">
        <v>9</v>
      </c>
      <c r="B14" t="s">
        <v>141</v>
      </c>
      <c r="C14" t="s">
        <v>103</v>
      </c>
      <c r="D14" t="s">
        <v>102</v>
      </c>
      <c r="E14">
        <v>1</v>
      </c>
    </row>
    <row r="15" spans="1:5" x14ac:dyDescent="0.25">
      <c r="A15">
        <v>10</v>
      </c>
      <c r="B15" t="s">
        <v>143</v>
      </c>
      <c r="C15" t="s">
        <v>90</v>
      </c>
      <c r="D15" t="s">
        <v>87</v>
      </c>
      <c r="E15">
        <v>1</v>
      </c>
    </row>
    <row r="16" spans="1:5" x14ac:dyDescent="0.25">
      <c r="A16">
        <v>11</v>
      </c>
      <c r="B16" t="s">
        <v>145</v>
      </c>
      <c r="C16" t="s">
        <v>65</v>
      </c>
      <c r="D16" t="s">
        <v>62</v>
      </c>
      <c r="E16">
        <v>1</v>
      </c>
    </row>
    <row r="17" spans="1:5" x14ac:dyDescent="0.25">
      <c r="A17">
        <v>12</v>
      </c>
      <c r="B17" t="s">
        <v>147</v>
      </c>
      <c r="C17" t="s">
        <v>96</v>
      </c>
      <c r="D17" t="s">
        <v>97</v>
      </c>
      <c r="E17">
        <v>1</v>
      </c>
    </row>
    <row r="18" spans="1:5" x14ac:dyDescent="0.25">
      <c r="A18">
        <v>13</v>
      </c>
      <c r="B18" t="s">
        <v>149</v>
      </c>
      <c r="C18" t="s">
        <v>110</v>
      </c>
      <c r="D18" t="s">
        <v>107</v>
      </c>
      <c r="E18">
        <v>1</v>
      </c>
    </row>
    <row r="19" spans="1:5" x14ac:dyDescent="0.25">
      <c r="A19">
        <v>14</v>
      </c>
      <c r="B19" t="s">
        <v>151</v>
      </c>
      <c r="C19" t="s">
        <v>120</v>
      </c>
      <c r="D19" t="s">
        <v>117</v>
      </c>
      <c r="E19">
        <v>1</v>
      </c>
    </row>
    <row r="20" spans="1:5" x14ac:dyDescent="0.25">
      <c r="A20">
        <v>15</v>
      </c>
      <c r="B20" t="s">
        <v>153</v>
      </c>
      <c r="C20" t="s">
        <v>88</v>
      </c>
      <c r="D20" t="s">
        <v>87</v>
      </c>
      <c r="E20">
        <v>1</v>
      </c>
    </row>
    <row r="21" spans="1:5" x14ac:dyDescent="0.25">
      <c r="A21">
        <v>16</v>
      </c>
      <c r="B21" t="s">
        <v>155</v>
      </c>
      <c r="C21" t="s">
        <v>94</v>
      </c>
      <c r="D21" t="s">
        <v>92</v>
      </c>
      <c r="E21">
        <v>1</v>
      </c>
    </row>
    <row r="22" spans="1:5" x14ac:dyDescent="0.25">
      <c r="A22">
        <v>17</v>
      </c>
      <c r="B22" t="s">
        <v>157</v>
      </c>
      <c r="C22" t="s">
        <v>85</v>
      </c>
      <c r="D22" t="s">
        <v>82</v>
      </c>
      <c r="E22">
        <v>1</v>
      </c>
    </row>
    <row r="23" spans="1:5" x14ac:dyDescent="0.25">
      <c r="A23">
        <v>18</v>
      </c>
      <c r="B23" t="s">
        <v>159</v>
      </c>
      <c r="C23" t="s">
        <v>98</v>
      </c>
      <c r="D23" t="s">
        <v>97</v>
      </c>
      <c r="E23">
        <v>1</v>
      </c>
    </row>
    <row r="24" spans="1:5" x14ac:dyDescent="0.25">
      <c r="A24">
        <v>19</v>
      </c>
      <c r="B24" t="s">
        <v>161</v>
      </c>
      <c r="C24" t="s">
        <v>108</v>
      </c>
      <c r="D24" t="s">
        <v>107</v>
      </c>
      <c r="E24">
        <v>1</v>
      </c>
    </row>
    <row r="25" spans="1:5" x14ac:dyDescent="0.25">
      <c r="A25">
        <v>20</v>
      </c>
      <c r="B25" t="s">
        <v>163</v>
      </c>
      <c r="C25" t="s">
        <v>61</v>
      </c>
      <c r="D25" t="s">
        <v>62</v>
      </c>
      <c r="E25">
        <v>1</v>
      </c>
    </row>
    <row r="26" spans="1:5" x14ac:dyDescent="0.25">
      <c r="A26">
        <v>21</v>
      </c>
      <c r="B26" t="s">
        <v>165</v>
      </c>
      <c r="C26" t="s">
        <v>68</v>
      </c>
      <c r="D26" t="s">
        <v>67</v>
      </c>
      <c r="E26">
        <v>1</v>
      </c>
    </row>
    <row r="27" spans="1:5" x14ac:dyDescent="0.25">
      <c r="A27">
        <v>22</v>
      </c>
      <c r="B27" t="s">
        <v>167</v>
      </c>
      <c r="C27" t="s">
        <v>99</v>
      </c>
      <c r="D27" t="s">
        <v>97</v>
      </c>
      <c r="E27">
        <v>1</v>
      </c>
    </row>
    <row r="28" spans="1:5" x14ac:dyDescent="0.25">
      <c r="A28">
        <v>23</v>
      </c>
      <c r="B28" t="s">
        <v>169</v>
      </c>
      <c r="C28" t="s">
        <v>104</v>
      </c>
      <c r="D28" t="s">
        <v>102</v>
      </c>
      <c r="E28">
        <v>1</v>
      </c>
    </row>
    <row r="29" spans="1:5" x14ac:dyDescent="0.25">
      <c r="A29">
        <v>24</v>
      </c>
      <c r="B29" t="s">
        <v>171</v>
      </c>
      <c r="C29" t="s">
        <v>86</v>
      </c>
      <c r="D29" t="s">
        <v>87</v>
      </c>
      <c r="E29">
        <v>1</v>
      </c>
    </row>
    <row r="30" spans="1:5" x14ac:dyDescent="0.25">
      <c r="A30">
        <v>25</v>
      </c>
      <c r="B30" t="s">
        <v>173</v>
      </c>
      <c r="C30" t="s">
        <v>83</v>
      </c>
      <c r="D30" t="s">
        <v>82</v>
      </c>
      <c r="E30">
        <v>1</v>
      </c>
    </row>
    <row r="31" spans="1:5" x14ac:dyDescent="0.25">
      <c r="A31">
        <v>26</v>
      </c>
      <c r="B31" t="s">
        <v>175</v>
      </c>
      <c r="C31" t="s">
        <v>78</v>
      </c>
      <c r="D31" t="s">
        <v>77</v>
      </c>
      <c r="E31">
        <v>1</v>
      </c>
    </row>
    <row r="32" spans="1:5" x14ac:dyDescent="0.25">
      <c r="A32">
        <v>27</v>
      </c>
      <c r="B32" t="s">
        <v>177</v>
      </c>
      <c r="C32" t="s">
        <v>73</v>
      </c>
      <c r="D32" t="s">
        <v>72</v>
      </c>
      <c r="E32">
        <v>1</v>
      </c>
    </row>
    <row r="33" spans="1:5" x14ac:dyDescent="0.25">
      <c r="A33">
        <v>28</v>
      </c>
      <c r="B33" t="s">
        <v>179</v>
      </c>
      <c r="C33" t="s">
        <v>115</v>
      </c>
      <c r="D33" t="s">
        <v>112</v>
      </c>
      <c r="E33">
        <v>1</v>
      </c>
    </row>
    <row r="34" spans="1:5" x14ac:dyDescent="0.25">
      <c r="A34">
        <v>29</v>
      </c>
      <c r="B34" t="s">
        <v>181</v>
      </c>
      <c r="C34" t="s">
        <v>116</v>
      </c>
      <c r="D34" t="s">
        <v>117</v>
      </c>
      <c r="E34">
        <v>1</v>
      </c>
    </row>
    <row r="35" spans="1:5" x14ac:dyDescent="0.25">
      <c r="A35">
        <v>30</v>
      </c>
      <c r="B35" t="s">
        <v>183</v>
      </c>
      <c r="C35" t="s">
        <v>101</v>
      </c>
      <c r="D35" t="s">
        <v>102</v>
      </c>
      <c r="E35">
        <v>1</v>
      </c>
    </row>
    <row r="36" spans="1:5" x14ac:dyDescent="0.25">
      <c r="A36">
        <v>31</v>
      </c>
      <c r="B36" t="s">
        <v>185</v>
      </c>
      <c r="C36" t="s">
        <v>109</v>
      </c>
      <c r="D36" t="s">
        <v>107</v>
      </c>
      <c r="E36">
        <v>1</v>
      </c>
    </row>
    <row r="37" spans="1:5" x14ac:dyDescent="0.25">
      <c r="A37">
        <v>32</v>
      </c>
      <c r="B37" t="s">
        <v>187</v>
      </c>
      <c r="C37" t="s">
        <v>64</v>
      </c>
      <c r="D37" t="s">
        <v>62</v>
      </c>
      <c r="E37">
        <v>1</v>
      </c>
    </row>
    <row r="38" spans="1:5" x14ac:dyDescent="0.25">
      <c r="A38">
        <v>33</v>
      </c>
      <c r="B38" t="s">
        <v>189</v>
      </c>
      <c r="C38" t="s">
        <v>118</v>
      </c>
      <c r="D38" t="s">
        <v>117</v>
      </c>
      <c r="E38">
        <v>1</v>
      </c>
    </row>
    <row r="39" spans="1:5" x14ac:dyDescent="0.25">
      <c r="A39">
        <v>34</v>
      </c>
      <c r="B39" t="s">
        <v>191</v>
      </c>
      <c r="C39" t="s">
        <v>105</v>
      </c>
      <c r="D39" t="s">
        <v>102</v>
      </c>
      <c r="E39">
        <v>1</v>
      </c>
    </row>
    <row r="40" spans="1:5" x14ac:dyDescent="0.25">
      <c r="A40">
        <v>35</v>
      </c>
      <c r="B40" t="s">
        <v>193</v>
      </c>
      <c r="C40" t="s">
        <v>63</v>
      </c>
      <c r="D40" t="s">
        <v>62</v>
      </c>
      <c r="E40">
        <v>1</v>
      </c>
    </row>
    <row r="41" spans="1:5" x14ac:dyDescent="0.25">
      <c r="A41">
        <v>36</v>
      </c>
      <c r="B41" t="s">
        <v>195</v>
      </c>
      <c r="C41" t="s">
        <v>95</v>
      </c>
      <c r="D41" t="s">
        <v>92</v>
      </c>
      <c r="E41">
        <v>1</v>
      </c>
    </row>
    <row r="42" spans="1:5" x14ac:dyDescent="0.25">
      <c r="A42">
        <v>37</v>
      </c>
      <c r="B42" t="s">
        <v>197</v>
      </c>
      <c r="C42" t="s">
        <v>93</v>
      </c>
      <c r="D42" t="s">
        <v>92</v>
      </c>
      <c r="E42">
        <v>1</v>
      </c>
    </row>
    <row r="43" spans="1:5" x14ac:dyDescent="0.25">
      <c r="A43">
        <v>38</v>
      </c>
      <c r="B43" t="s">
        <v>199</v>
      </c>
      <c r="C43" t="s">
        <v>114</v>
      </c>
      <c r="D43" t="s">
        <v>112</v>
      </c>
      <c r="E43">
        <v>1</v>
      </c>
    </row>
    <row r="44" spans="1:5" x14ac:dyDescent="0.25">
      <c r="A44">
        <v>39</v>
      </c>
      <c r="B44" t="s">
        <v>201</v>
      </c>
      <c r="C44" t="s">
        <v>76</v>
      </c>
      <c r="D44" t="s">
        <v>77</v>
      </c>
      <c r="E44">
        <v>1</v>
      </c>
    </row>
    <row r="45" spans="1:5" x14ac:dyDescent="0.25">
      <c r="A45">
        <v>40</v>
      </c>
      <c r="B45" t="s">
        <v>203</v>
      </c>
      <c r="C45" t="s">
        <v>74</v>
      </c>
      <c r="D45" t="s">
        <v>72</v>
      </c>
      <c r="E45">
        <v>1</v>
      </c>
    </row>
    <row r="46" spans="1:5" x14ac:dyDescent="0.25">
      <c r="A46">
        <v>41</v>
      </c>
      <c r="B46" t="s">
        <v>205</v>
      </c>
      <c r="C46" t="s">
        <v>70</v>
      </c>
      <c r="D46" t="s">
        <v>67</v>
      </c>
      <c r="E46">
        <v>1</v>
      </c>
    </row>
    <row r="47" spans="1:5" x14ac:dyDescent="0.25">
      <c r="A47">
        <v>42</v>
      </c>
      <c r="B47" t="s">
        <v>207</v>
      </c>
      <c r="C47" t="s">
        <v>79</v>
      </c>
      <c r="D47" t="s">
        <v>77</v>
      </c>
      <c r="E47">
        <v>1</v>
      </c>
    </row>
    <row r="48" spans="1:5" x14ac:dyDescent="0.25">
      <c r="A48">
        <v>43</v>
      </c>
      <c r="B48" t="s">
        <v>209</v>
      </c>
      <c r="C48" t="s">
        <v>81</v>
      </c>
      <c r="D48" t="s">
        <v>82</v>
      </c>
      <c r="E48">
        <v>1</v>
      </c>
    </row>
    <row r="49" spans="1:5" x14ac:dyDescent="0.25">
      <c r="A49">
        <v>44</v>
      </c>
      <c r="B49" t="s">
        <v>211</v>
      </c>
      <c r="C49" t="s">
        <v>84</v>
      </c>
      <c r="D49" t="s">
        <v>82</v>
      </c>
      <c r="E49">
        <v>1</v>
      </c>
    </row>
    <row r="50" spans="1:5" x14ac:dyDescent="0.25">
      <c r="A50">
        <v>45</v>
      </c>
      <c r="B50" t="s">
        <v>213</v>
      </c>
      <c r="C50" t="s">
        <v>69</v>
      </c>
      <c r="D50" t="s">
        <v>67</v>
      </c>
      <c r="E50">
        <v>1</v>
      </c>
    </row>
    <row r="51" spans="1:5" x14ac:dyDescent="0.25">
      <c r="A51">
        <v>46</v>
      </c>
      <c r="B51" t="s">
        <v>215</v>
      </c>
      <c r="C51" t="s">
        <v>119</v>
      </c>
      <c r="D51" t="s">
        <v>117</v>
      </c>
      <c r="E51">
        <v>1</v>
      </c>
    </row>
    <row r="52" spans="1:5" x14ac:dyDescent="0.25">
      <c r="A52">
        <v>47</v>
      </c>
      <c r="B52" t="s">
        <v>217</v>
      </c>
      <c r="C52" t="s">
        <v>66</v>
      </c>
      <c r="D52" t="s">
        <v>67</v>
      </c>
      <c r="E52">
        <v>1</v>
      </c>
    </row>
    <row r="53" spans="1:5" x14ac:dyDescent="0.25">
      <c r="A53">
        <v>48</v>
      </c>
      <c r="B53" t="s">
        <v>219</v>
      </c>
      <c r="C53" t="s">
        <v>111</v>
      </c>
      <c r="D53" t="s">
        <v>112</v>
      </c>
      <c r="E53">
        <v>1</v>
      </c>
    </row>
    <row r="54" spans="1:5" x14ac:dyDescent="0.25">
      <c r="A54">
        <v>49</v>
      </c>
      <c r="B54" t="s">
        <v>221</v>
      </c>
      <c r="C54" t="s">
        <v>68</v>
      </c>
      <c r="D54" t="s">
        <v>67</v>
      </c>
      <c r="E54">
        <v>2</v>
      </c>
    </row>
    <row r="55" spans="1:5" x14ac:dyDescent="0.25">
      <c r="A55">
        <v>50</v>
      </c>
      <c r="B55" t="s">
        <v>223</v>
      </c>
      <c r="C55" t="s">
        <v>90</v>
      </c>
      <c r="D55" t="s">
        <v>87</v>
      </c>
      <c r="E55">
        <v>2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workbookViewId="0">
      <selection activeCell="D6" sqref="D6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230</v>
      </c>
    </row>
    <row r="2" spans="1:11" x14ac:dyDescent="0.25">
      <c r="A2" s="16" t="s">
        <v>231</v>
      </c>
    </row>
    <row r="4" spans="1:11" x14ac:dyDescent="0.25">
      <c r="A4" s="3" t="s">
        <v>232</v>
      </c>
      <c r="B4" s="3" t="s">
        <v>233</v>
      </c>
      <c r="C4" s="3" t="s">
        <v>234</v>
      </c>
      <c r="D4" s="3" t="s">
        <v>235</v>
      </c>
      <c r="E4" s="3" t="s">
        <v>236</v>
      </c>
      <c r="F4" s="3" t="s">
        <v>237</v>
      </c>
      <c r="G4" s="3" t="s">
        <v>238</v>
      </c>
      <c r="H4" s="3" t="s">
        <v>239</v>
      </c>
      <c r="I4" s="3" t="s">
        <v>240</v>
      </c>
      <c r="J4" s="3" t="s">
        <v>241</v>
      </c>
      <c r="K4" s="3" t="s">
        <v>242</v>
      </c>
    </row>
    <row r="5" spans="1:11" x14ac:dyDescent="0.25">
      <c r="A5" s="19">
        <v>1</v>
      </c>
      <c r="B5" s="19" t="s">
        <v>243</v>
      </c>
      <c r="C5" s="19" t="s">
        <v>244</v>
      </c>
      <c r="D5" s="20" t="s">
        <v>61</v>
      </c>
      <c r="E5" s="19">
        <v>3</v>
      </c>
      <c r="F5" s="19">
        <v>2</v>
      </c>
      <c r="G5" s="20" t="s">
        <v>63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243</v>
      </c>
      <c r="C6" s="19" t="s">
        <v>244</v>
      </c>
      <c r="D6" s="20" t="s">
        <v>64</v>
      </c>
      <c r="E6" s="19">
        <v>2</v>
      </c>
      <c r="F6" s="19">
        <v>2</v>
      </c>
      <c r="G6" s="20" t="s">
        <v>65</v>
      </c>
      <c r="H6" s="19">
        <f t="shared" si="0"/>
        <v>2</v>
      </c>
      <c r="I6" s="19">
        <f t="shared" si="1"/>
        <v>2</v>
      </c>
      <c r="J6" s="19" t="str">
        <f t="shared" si="2"/>
        <v>D</v>
      </c>
      <c r="K6" s="19" t="str">
        <f t="shared" si="3"/>
        <v>D</v>
      </c>
    </row>
    <row r="7" spans="1:11" x14ac:dyDescent="0.25">
      <c r="A7" s="21">
        <v>3</v>
      </c>
      <c r="B7" s="21" t="s">
        <v>245</v>
      </c>
      <c r="C7" s="21" t="s">
        <v>246</v>
      </c>
      <c r="D7" s="22" t="s">
        <v>66</v>
      </c>
      <c r="E7" s="21"/>
      <c r="F7" s="21"/>
      <c r="G7" s="22" t="s">
        <v>68</v>
      </c>
      <c r="H7" s="21" t="str">
        <f t="shared" si="0"/>
        <v/>
      </c>
      <c r="I7" s="21" t="str">
        <f t="shared" si="1"/>
        <v/>
      </c>
      <c r="J7" s="21" t="str">
        <f t="shared" si="2"/>
        <v/>
      </c>
      <c r="K7" s="21" t="str">
        <f t="shared" si="3"/>
        <v/>
      </c>
    </row>
    <row r="8" spans="1:11" x14ac:dyDescent="0.25">
      <c r="A8" s="23">
        <v>4</v>
      </c>
      <c r="B8" s="23" t="s">
        <v>245</v>
      </c>
      <c r="C8" s="23" t="s">
        <v>247</v>
      </c>
      <c r="D8" s="24" t="s">
        <v>76</v>
      </c>
      <c r="E8" s="23"/>
      <c r="F8" s="23"/>
      <c r="G8" s="24" t="s">
        <v>78</v>
      </c>
      <c r="H8" s="23" t="str">
        <f t="shared" si="0"/>
        <v/>
      </c>
      <c r="I8" s="23" t="str">
        <f t="shared" si="1"/>
        <v/>
      </c>
      <c r="J8" s="23" t="str">
        <f t="shared" si="2"/>
        <v/>
      </c>
      <c r="K8" s="23" t="str">
        <f t="shared" si="3"/>
        <v/>
      </c>
    </row>
    <row r="9" spans="1:11" x14ac:dyDescent="0.25">
      <c r="A9" s="25">
        <v>5</v>
      </c>
      <c r="B9" s="25" t="s">
        <v>248</v>
      </c>
      <c r="C9" s="25" t="s">
        <v>249</v>
      </c>
      <c r="D9" s="26" t="s">
        <v>74</v>
      </c>
      <c r="E9" s="25"/>
      <c r="F9" s="25"/>
      <c r="G9" s="26" t="s">
        <v>75</v>
      </c>
      <c r="H9" s="25" t="str">
        <f t="shared" si="0"/>
        <v/>
      </c>
      <c r="I9" s="25" t="str">
        <f t="shared" si="1"/>
        <v/>
      </c>
      <c r="J9" s="25" t="str">
        <f t="shared" si="2"/>
        <v/>
      </c>
      <c r="K9" s="25" t="str">
        <f t="shared" si="3"/>
        <v/>
      </c>
    </row>
    <row r="10" spans="1:11" x14ac:dyDescent="0.25">
      <c r="A10" s="23">
        <v>6</v>
      </c>
      <c r="B10" s="23" t="s">
        <v>248</v>
      </c>
      <c r="C10" s="23" t="s">
        <v>247</v>
      </c>
      <c r="D10" s="24" t="s">
        <v>79</v>
      </c>
      <c r="E10" s="23"/>
      <c r="F10" s="23"/>
      <c r="G10" s="24" t="s">
        <v>80</v>
      </c>
      <c r="H10" s="23" t="str">
        <f t="shared" si="0"/>
        <v/>
      </c>
      <c r="I10" s="23" t="str">
        <f t="shared" si="1"/>
        <v/>
      </c>
      <c r="J10" s="23" t="str">
        <f t="shared" si="2"/>
        <v/>
      </c>
      <c r="K10" s="23" t="str">
        <f t="shared" si="3"/>
        <v/>
      </c>
    </row>
    <row r="11" spans="1:11" x14ac:dyDescent="0.25">
      <c r="A11" s="25">
        <v>7</v>
      </c>
      <c r="B11" s="25" t="s">
        <v>248</v>
      </c>
      <c r="C11" s="25" t="s">
        <v>249</v>
      </c>
      <c r="D11" s="26" t="s">
        <v>71</v>
      </c>
      <c r="E11" s="25"/>
      <c r="F11" s="25"/>
      <c r="G11" s="26" t="s">
        <v>73</v>
      </c>
      <c r="H11" s="25" t="str">
        <f t="shared" si="0"/>
        <v/>
      </c>
      <c r="I11" s="25" t="str">
        <f t="shared" si="1"/>
        <v/>
      </c>
      <c r="J11" s="25" t="str">
        <f t="shared" si="2"/>
        <v/>
      </c>
      <c r="K11" s="25" t="str">
        <f t="shared" si="3"/>
        <v/>
      </c>
    </row>
    <row r="12" spans="1:11" x14ac:dyDescent="0.25">
      <c r="A12" s="21">
        <v>8</v>
      </c>
      <c r="B12" s="21" t="s">
        <v>248</v>
      </c>
      <c r="C12" s="21" t="s">
        <v>246</v>
      </c>
      <c r="D12" s="22" t="s">
        <v>69</v>
      </c>
      <c r="E12" s="21"/>
      <c r="F12" s="21"/>
      <c r="G12" s="22" t="s">
        <v>70</v>
      </c>
      <c r="H12" s="21" t="str">
        <f t="shared" si="0"/>
        <v/>
      </c>
      <c r="I12" s="21" t="str">
        <f t="shared" si="1"/>
        <v/>
      </c>
      <c r="J12" s="21" t="str">
        <f t="shared" si="2"/>
        <v/>
      </c>
      <c r="K12" s="21" t="str">
        <f t="shared" si="3"/>
        <v/>
      </c>
    </row>
    <row r="13" spans="1:11" x14ac:dyDescent="0.25">
      <c r="A13" s="27">
        <v>9</v>
      </c>
      <c r="B13" s="27" t="s">
        <v>250</v>
      </c>
      <c r="C13" s="27" t="s">
        <v>251</v>
      </c>
      <c r="D13" s="28" t="s">
        <v>84</v>
      </c>
      <c r="E13" s="27"/>
      <c r="F13" s="27"/>
      <c r="G13" s="28" t="s">
        <v>85</v>
      </c>
      <c r="H13" s="27" t="str">
        <f t="shared" si="0"/>
        <v/>
      </c>
      <c r="I13" s="27" t="str">
        <f t="shared" si="1"/>
        <v/>
      </c>
      <c r="J13" s="27" t="str">
        <f t="shared" si="2"/>
        <v/>
      </c>
      <c r="K13" s="27" t="str">
        <f t="shared" si="3"/>
        <v/>
      </c>
    </row>
    <row r="14" spans="1:11" x14ac:dyDescent="0.25">
      <c r="A14" s="27">
        <v>10</v>
      </c>
      <c r="B14" s="27" t="s">
        <v>250</v>
      </c>
      <c r="C14" s="27" t="s">
        <v>251</v>
      </c>
      <c r="D14" s="28" t="s">
        <v>81</v>
      </c>
      <c r="E14" s="27"/>
      <c r="F14" s="27"/>
      <c r="G14" s="28" t="s">
        <v>83</v>
      </c>
      <c r="H14" s="27" t="str">
        <f t="shared" si="0"/>
        <v/>
      </c>
      <c r="I14" s="27" t="str">
        <f t="shared" si="1"/>
        <v/>
      </c>
      <c r="J14" s="27" t="str">
        <f t="shared" si="2"/>
        <v/>
      </c>
      <c r="K14" s="27" t="str">
        <f t="shared" si="3"/>
        <v/>
      </c>
    </row>
    <row r="15" spans="1:11" x14ac:dyDescent="0.25">
      <c r="A15" s="29">
        <v>11</v>
      </c>
      <c r="B15" s="29" t="s">
        <v>250</v>
      </c>
      <c r="C15" s="29" t="s">
        <v>252</v>
      </c>
      <c r="D15" s="30" t="s">
        <v>86</v>
      </c>
      <c r="E15" s="29"/>
      <c r="F15" s="29"/>
      <c r="G15" s="30" t="s">
        <v>88</v>
      </c>
      <c r="H15" s="29" t="str">
        <f t="shared" si="0"/>
        <v/>
      </c>
      <c r="I15" s="29" t="str">
        <f t="shared" si="1"/>
        <v/>
      </c>
      <c r="J15" s="29" t="str">
        <f t="shared" si="2"/>
        <v/>
      </c>
      <c r="K15" s="29" t="str">
        <f t="shared" si="3"/>
        <v/>
      </c>
    </row>
    <row r="16" spans="1:11" x14ac:dyDescent="0.25">
      <c r="A16" s="29">
        <v>12</v>
      </c>
      <c r="B16" s="29" t="s">
        <v>250</v>
      </c>
      <c r="C16" s="29" t="s">
        <v>252</v>
      </c>
      <c r="D16" s="30" t="s">
        <v>89</v>
      </c>
      <c r="E16" s="29"/>
      <c r="F16" s="29"/>
      <c r="G16" s="30" t="s">
        <v>90</v>
      </c>
      <c r="H16" s="29" t="str">
        <f t="shared" si="0"/>
        <v/>
      </c>
      <c r="I16" s="29" t="str">
        <f t="shared" si="1"/>
        <v/>
      </c>
      <c r="J16" s="29" t="str">
        <f t="shared" si="2"/>
        <v/>
      </c>
      <c r="K16" s="29" t="str">
        <f t="shared" si="3"/>
        <v/>
      </c>
    </row>
    <row r="17" spans="1:11" x14ac:dyDescent="0.25">
      <c r="A17" s="31">
        <v>13</v>
      </c>
      <c r="B17" s="31" t="s">
        <v>253</v>
      </c>
      <c r="C17" s="31" t="s">
        <v>254</v>
      </c>
      <c r="D17" s="32" t="s">
        <v>99</v>
      </c>
      <c r="E17" s="31"/>
      <c r="F17" s="31"/>
      <c r="G17" s="32" t="s">
        <v>100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25">
      <c r="A18" s="31">
        <v>14</v>
      </c>
      <c r="B18" s="31" t="s">
        <v>253</v>
      </c>
      <c r="C18" s="31" t="s">
        <v>254</v>
      </c>
      <c r="D18" s="32" t="s">
        <v>96</v>
      </c>
      <c r="E18" s="31"/>
      <c r="F18" s="31"/>
      <c r="G18" s="32" t="s">
        <v>98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25">
      <c r="A19" s="33">
        <v>15</v>
      </c>
      <c r="B19" s="33" t="s">
        <v>253</v>
      </c>
      <c r="C19" s="33" t="s">
        <v>255</v>
      </c>
      <c r="D19" s="34" t="s">
        <v>94</v>
      </c>
      <c r="E19" s="33"/>
      <c r="F19" s="33"/>
      <c r="G19" s="34" t="s">
        <v>95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25">
      <c r="A20" s="33">
        <v>16</v>
      </c>
      <c r="B20" s="33" t="s">
        <v>253</v>
      </c>
      <c r="C20" s="33" t="s">
        <v>255</v>
      </c>
      <c r="D20" s="34" t="s">
        <v>91</v>
      </c>
      <c r="E20" s="33"/>
      <c r="F20" s="33"/>
      <c r="G20" s="34" t="s">
        <v>93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25">
      <c r="A21" s="35">
        <v>17</v>
      </c>
      <c r="B21" s="35" t="s">
        <v>256</v>
      </c>
      <c r="C21" s="35" t="s">
        <v>257</v>
      </c>
      <c r="D21" s="36" t="s">
        <v>101</v>
      </c>
      <c r="E21" s="35"/>
      <c r="F21" s="35"/>
      <c r="G21" s="36" t="s">
        <v>103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256</v>
      </c>
      <c r="C22" s="35" t="s">
        <v>257</v>
      </c>
      <c r="D22" s="36" t="s">
        <v>104</v>
      </c>
      <c r="E22" s="35"/>
      <c r="F22" s="35"/>
      <c r="G22" s="36" t="s">
        <v>105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256</v>
      </c>
      <c r="C23" s="37" t="s">
        <v>258</v>
      </c>
      <c r="D23" s="38" t="s">
        <v>106</v>
      </c>
      <c r="E23" s="37"/>
      <c r="F23" s="37"/>
      <c r="G23" s="38" t="s">
        <v>108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256</v>
      </c>
      <c r="C24" s="37" t="s">
        <v>258</v>
      </c>
      <c r="D24" s="38" t="s">
        <v>109</v>
      </c>
      <c r="E24" s="37"/>
      <c r="F24" s="37"/>
      <c r="G24" s="38" t="s">
        <v>110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259</v>
      </c>
      <c r="C25" s="39" t="s">
        <v>260</v>
      </c>
      <c r="D25" s="40" t="s">
        <v>119</v>
      </c>
      <c r="E25" s="39"/>
      <c r="F25" s="39"/>
      <c r="G25" s="40" t="s">
        <v>120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259</v>
      </c>
      <c r="C26" s="39" t="s">
        <v>260</v>
      </c>
      <c r="D26" s="40" t="s">
        <v>116</v>
      </c>
      <c r="E26" s="39"/>
      <c r="F26" s="39"/>
      <c r="G26" s="40" t="s">
        <v>118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259</v>
      </c>
      <c r="C27" s="41" t="s">
        <v>261</v>
      </c>
      <c r="D27" s="42" t="s">
        <v>111</v>
      </c>
      <c r="E27" s="41"/>
      <c r="F27" s="41"/>
      <c r="G27" s="42" t="s">
        <v>113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259</v>
      </c>
      <c r="C28" s="41" t="s">
        <v>261</v>
      </c>
      <c r="D28" s="42" t="s">
        <v>114</v>
      </c>
      <c r="E28" s="41"/>
      <c r="F28" s="41"/>
      <c r="G28" s="42" t="s">
        <v>115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262</v>
      </c>
      <c r="C29" s="19" t="s">
        <v>244</v>
      </c>
      <c r="D29" s="20" t="s">
        <v>65</v>
      </c>
      <c r="E29" s="19"/>
      <c r="F29" s="19"/>
      <c r="G29" s="20" t="s">
        <v>63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262</v>
      </c>
      <c r="C30" s="21" t="s">
        <v>246</v>
      </c>
      <c r="D30" s="22" t="s">
        <v>70</v>
      </c>
      <c r="E30" s="21"/>
      <c r="F30" s="21"/>
      <c r="G30" s="22" t="s">
        <v>68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262</v>
      </c>
      <c r="C31" s="21" t="s">
        <v>246</v>
      </c>
      <c r="D31" s="22" t="s">
        <v>66</v>
      </c>
      <c r="E31" s="21"/>
      <c r="F31" s="21"/>
      <c r="G31" s="22" t="s">
        <v>69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262</v>
      </c>
      <c r="C32" s="19" t="s">
        <v>244</v>
      </c>
      <c r="D32" s="20" t="s">
        <v>61</v>
      </c>
      <c r="E32" s="19"/>
      <c r="F32" s="19"/>
      <c r="G32" s="20" t="s">
        <v>64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263</v>
      </c>
      <c r="C33" s="25" t="s">
        <v>249</v>
      </c>
      <c r="D33" s="26" t="s">
        <v>71</v>
      </c>
      <c r="E33" s="25"/>
      <c r="F33" s="25"/>
      <c r="G33" s="26" t="s">
        <v>74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263</v>
      </c>
      <c r="C34" s="25" t="s">
        <v>249</v>
      </c>
      <c r="D34" s="26" t="s">
        <v>75</v>
      </c>
      <c r="E34" s="25"/>
      <c r="F34" s="25"/>
      <c r="G34" s="26" t="s">
        <v>73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263</v>
      </c>
      <c r="C35" s="23" t="s">
        <v>247</v>
      </c>
      <c r="D35" s="24" t="s">
        <v>80</v>
      </c>
      <c r="E35" s="23"/>
      <c r="F35" s="23"/>
      <c r="G35" s="24" t="s">
        <v>78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263</v>
      </c>
      <c r="C36" s="23" t="s">
        <v>247</v>
      </c>
      <c r="D36" s="24" t="s">
        <v>76</v>
      </c>
      <c r="E36" s="23"/>
      <c r="F36" s="23"/>
      <c r="G36" s="24" t="s">
        <v>79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264</v>
      </c>
      <c r="C37" s="27" t="s">
        <v>251</v>
      </c>
      <c r="D37" s="28" t="s">
        <v>81</v>
      </c>
      <c r="E37" s="27"/>
      <c r="F37" s="27"/>
      <c r="G37" s="28" t="s">
        <v>84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264</v>
      </c>
      <c r="C38" s="27" t="s">
        <v>251</v>
      </c>
      <c r="D38" s="28" t="s">
        <v>85</v>
      </c>
      <c r="E38" s="27"/>
      <c r="F38" s="27"/>
      <c r="G38" s="28" t="s">
        <v>83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264</v>
      </c>
      <c r="C39" s="29" t="s">
        <v>252</v>
      </c>
      <c r="D39" s="30" t="s">
        <v>86</v>
      </c>
      <c r="E39" s="29"/>
      <c r="F39" s="29"/>
      <c r="G39" s="30" t="s">
        <v>89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264</v>
      </c>
      <c r="C40" s="29" t="s">
        <v>252</v>
      </c>
      <c r="D40" s="30" t="s">
        <v>90</v>
      </c>
      <c r="E40" s="29"/>
      <c r="F40" s="29"/>
      <c r="G40" s="30" t="s">
        <v>88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265</v>
      </c>
      <c r="C41" s="31" t="s">
        <v>254</v>
      </c>
      <c r="D41" s="32" t="s">
        <v>100</v>
      </c>
      <c r="E41" s="31"/>
      <c r="F41" s="31"/>
      <c r="G41" s="32" t="s">
        <v>98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265</v>
      </c>
      <c r="C42" s="31" t="s">
        <v>254</v>
      </c>
      <c r="D42" s="32" t="s">
        <v>96</v>
      </c>
      <c r="E42" s="31"/>
      <c r="F42" s="31"/>
      <c r="G42" s="32" t="s">
        <v>99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265</v>
      </c>
      <c r="C43" s="33" t="s">
        <v>255</v>
      </c>
      <c r="D43" s="34" t="s">
        <v>91</v>
      </c>
      <c r="E43" s="33"/>
      <c r="F43" s="33"/>
      <c r="G43" s="34" t="s">
        <v>94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265</v>
      </c>
      <c r="C44" s="33" t="s">
        <v>255</v>
      </c>
      <c r="D44" s="34" t="s">
        <v>95</v>
      </c>
      <c r="E44" s="33"/>
      <c r="F44" s="33"/>
      <c r="G44" s="34" t="s">
        <v>93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266</v>
      </c>
      <c r="C45" s="35" t="s">
        <v>257</v>
      </c>
      <c r="D45" s="36" t="s">
        <v>105</v>
      </c>
      <c r="E45" s="35"/>
      <c r="F45" s="35"/>
      <c r="G45" s="36" t="s">
        <v>103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266</v>
      </c>
      <c r="C46" s="35" t="s">
        <v>257</v>
      </c>
      <c r="D46" s="36" t="s">
        <v>101</v>
      </c>
      <c r="E46" s="35"/>
      <c r="F46" s="35"/>
      <c r="G46" s="36" t="s">
        <v>104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266</v>
      </c>
      <c r="C47" s="37" t="s">
        <v>258</v>
      </c>
      <c r="D47" s="38" t="s">
        <v>106</v>
      </c>
      <c r="E47" s="37"/>
      <c r="F47" s="37"/>
      <c r="G47" s="38" t="s">
        <v>109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266</v>
      </c>
      <c r="C48" s="37" t="s">
        <v>258</v>
      </c>
      <c r="D48" s="38" t="s">
        <v>110</v>
      </c>
      <c r="E48" s="37"/>
      <c r="F48" s="37"/>
      <c r="G48" s="38" t="s">
        <v>108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267</v>
      </c>
      <c r="C49" s="39" t="s">
        <v>260</v>
      </c>
      <c r="D49" s="40" t="s">
        <v>116</v>
      </c>
      <c r="E49" s="39"/>
      <c r="F49" s="39"/>
      <c r="G49" s="40" t="s">
        <v>119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267</v>
      </c>
      <c r="C50" s="39" t="s">
        <v>260</v>
      </c>
      <c r="D50" s="40" t="s">
        <v>120</v>
      </c>
      <c r="E50" s="39"/>
      <c r="F50" s="39"/>
      <c r="G50" s="40" t="s">
        <v>118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267</v>
      </c>
      <c r="C51" s="41" t="s">
        <v>261</v>
      </c>
      <c r="D51" s="42" t="s">
        <v>111</v>
      </c>
      <c r="E51" s="41"/>
      <c r="F51" s="41"/>
      <c r="G51" s="42" t="s">
        <v>114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267</v>
      </c>
      <c r="C52" s="41" t="s">
        <v>261</v>
      </c>
      <c r="D52" s="42" t="s">
        <v>115</v>
      </c>
      <c r="E52" s="41"/>
      <c r="F52" s="41"/>
      <c r="G52" s="42" t="s">
        <v>113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268</v>
      </c>
      <c r="C53" s="25" t="s">
        <v>249</v>
      </c>
      <c r="D53" s="26" t="s">
        <v>75</v>
      </c>
      <c r="E53" s="25"/>
      <c r="F53" s="25"/>
      <c r="G53" s="26" t="s">
        <v>71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268</v>
      </c>
      <c r="C54" s="25" t="s">
        <v>249</v>
      </c>
      <c r="D54" s="26" t="s">
        <v>73</v>
      </c>
      <c r="E54" s="25"/>
      <c r="F54" s="25"/>
      <c r="G54" s="26" t="s">
        <v>74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268</v>
      </c>
      <c r="C55" s="21" t="s">
        <v>246</v>
      </c>
      <c r="D55" s="22" t="s">
        <v>70</v>
      </c>
      <c r="E55" s="21"/>
      <c r="F55" s="21"/>
      <c r="G55" s="22" t="s">
        <v>66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268</v>
      </c>
      <c r="C56" s="21" t="s">
        <v>246</v>
      </c>
      <c r="D56" s="22" t="s">
        <v>68</v>
      </c>
      <c r="E56" s="21"/>
      <c r="F56" s="21"/>
      <c r="G56" s="22" t="s">
        <v>69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268</v>
      </c>
      <c r="C57" s="19" t="s">
        <v>244</v>
      </c>
      <c r="D57" s="20" t="s">
        <v>65</v>
      </c>
      <c r="E57" s="19"/>
      <c r="F57" s="19"/>
      <c r="G57" s="20" t="s">
        <v>61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268</v>
      </c>
      <c r="C58" s="19" t="s">
        <v>244</v>
      </c>
      <c r="D58" s="20" t="s">
        <v>63</v>
      </c>
      <c r="E58" s="19"/>
      <c r="F58" s="19"/>
      <c r="G58" s="20" t="s">
        <v>64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269</v>
      </c>
      <c r="C59" s="27" t="s">
        <v>251</v>
      </c>
      <c r="D59" s="28" t="s">
        <v>83</v>
      </c>
      <c r="E59" s="27"/>
      <c r="F59" s="27"/>
      <c r="G59" s="28" t="s">
        <v>84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269</v>
      </c>
      <c r="C60" s="27" t="s">
        <v>251</v>
      </c>
      <c r="D60" s="28" t="s">
        <v>85</v>
      </c>
      <c r="E60" s="27"/>
      <c r="F60" s="27"/>
      <c r="G60" s="28" t="s">
        <v>81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269</v>
      </c>
      <c r="C61" s="29" t="s">
        <v>252</v>
      </c>
      <c r="D61" s="30" t="s">
        <v>88</v>
      </c>
      <c r="E61" s="29"/>
      <c r="F61" s="29"/>
      <c r="G61" s="30" t="s">
        <v>89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269</v>
      </c>
      <c r="C62" s="29" t="s">
        <v>252</v>
      </c>
      <c r="D62" s="30" t="s">
        <v>90</v>
      </c>
      <c r="E62" s="29"/>
      <c r="F62" s="29"/>
      <c r="G62" s="30" t="s">
        <v>86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269</v>
      </c>
      <c r="C63" s="23" t="s">
        <v>247</v>
      </c>
      <c r="D63" s="24" t="s">
        <v>80</v>
      </c>
      <c r="E63" s="23"/>
      <c r="F63" s="23"/>
      <c r="G63" s="24" t="s">
        <v>76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269</v>
      </c>
      <c r="C64" s="23" t="s">
        <v>247</v>
      </c>
      <c r="D64" s="24" t="s">
        <v>78</v>
      </c>
      <c r="E64" s="23"/>
      <c r="F64" s="23"/>
      <c r="G64" s="24" t="s">
        <v>79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270</v>
      </c>
      <c r="C65" s="35" t="s">
        <v>257</v>
      </c>
      <c r="D65" s="36" t="s">
        <v>105</v>
      </c>
      <c r="E65" s="35"/>
      <c r="F65" s="35"/>
      <c r="G65" s="36" t="s">
        <v>101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270</v>
      </c>
      <c r="C66" s="35" t="s">
        <v>257</v>
      </c>
      <c r="D66" s="36" t="s">
        <v>103</v>
      </c>
      <c r="E66" s="35"/>
      <c r="F66" s="35"/>
      <c r="G66" s="36" t="s">
        <v>104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270</v>
      </c>
      <c r="C67" s="33" t="s">
        <v>255</v>
      </c>
      <c r="D67" s="34" t="s">
        <v>93</v>
      </c>
      <c r="E67" s="33"/>
      <c r="F67" s="33"/>
      <c r="G67" s="34" t="s">
        <v>94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270</v>
      </c>
      <c r="C68" s="33" t="s">
        <v>255</v>
      </c>
      <c r="D68" s="34" t="s">
        <v>95</v>
      </c>
      <c r="E68" s="33"/>
      <c r="F68" s="33"/>
      <c r="G68" s="34" t="s">
        <v>91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270</v>
      </c>
      <c r="C69" s="31" t="s">
        <v>254</v>
      </c>
      <c r="D69" s="32" t="s">
        <v>98</v>
      </c>
      <c r="E69" s="31"/>
      <c r="F69" s="31"/>
      <c r="G69" s="32" t="s">
        <v>99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270</v>
      </c>
      <c r="C70" s="31" t="s">
        <v>254</v>
      </c>
      <c r="D70" s="32" t="s">
        <v>100</v>
      </c>
      <c r="E70" s="31"/>
      <c r="F70" s="31"/>
      <c r="G70" s="32" t="s">
        <v>96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271</v>
      </c>
      <c r="C71" s="39" t="s">
        <v>260</v>
      </c>
      <c r="D71" s="40" t="s">
        <v>120</v>
      </c>
      <c r="E71" s="39"/>
      <c r="F71" s="39"/>
      <c r="G71" s="40" t="s">
        <v>116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271</v>
      </c>
      <c r="C72" s="39" t="s">
        <v>260</v>
      </c>
      <c r="D72" s="40" t="s">
        <v>118</v>
      </c>
      <c r="E72" s="39"/>
      <c r="F72" s="39"/>
      <c r="G72" s="40" t="s">
        <v>119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271</v>
      </c>
      <c r="C73" s="37" t="s">
        <v>258</v>
      </c>
      <c r="D73" s="38" t="s">
        <v>108</v>
      </c>
      <c r="E73" s="37"/>
      <c r="F73" s="37"/>
      <c r="G73" s="38" t="s">
        <v>109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271</v>
      </c>
      <c r="C74" s="37" t="s">
        <v>258</v>
      </c>
      <c r="D74" s="38" t="s">
        <v>110</v>
      </c>
      <c r="E74" s="37"/>
      <c r="F74" s="37"/>
      <c r="G74" s="38" t="s">
        <v>106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271</v>
      </c>
      <c r="C75" s="41" t="s">
        <v>261</v>
      </c>
      <c r="D75" s="42" t="s">
        <v>115</v>
      </c>
      <c r="E75" s="41"/>
      <c r="F75" s="41"/>
      <c r="G75" s="42" t="s">
        <v>111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271</v>
      </c>
      <c r="C76" s="41" t="s">
        <v>261</v>
      </c>
      <c r="D76" s="42" t="s">
        <v>113</v>
      </c>
      <c r="E76" s="41"/>
      <c r="F76" s="41"/>
      <c r="G76" s="42" t="s">
        <v>114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272</v>
      </c>
      <c r="C77" s="43" t="s">
        <v>273</v>
      </c>
      <c r="D77" s="44" t="s">
        <v>274</v>
      </c>
      <c r="E77" s="43"/>
      <c r="F77" s="43"/>
      <c r="G77" s="44" t="s">
        <v>275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276</v>
      </c>
      <c r="C78" s="43" t="s">
        <v>273</v>
      </c>
      <c r="D78" s="44" t="s">
        <v>277</v>
      </c>
      <c r="E78" s="43"/>
      <c r="F78" s="43"/>
      <c r="G78" s="44" t="s">
        <v>278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276</v>
      </c>
      <c r="C79" s="43" t="s">
        <v>273</v>
      </c>
      <c r="D79" s="44" t="s">
        <v>279</v>
      </c>
      <c r="E79" s="43"/>
      <c r="F79" s="43"/>
      <c r="G79" s="44" t="s">
        <v>280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276</v>
      </c>
      <c r="C80" s="43" t="s">
        <v>273</v>
      </c>
      <c r="D80" s="44" t="s">
        <v>281</v>
      </c>
      <c r="E80" s="43"/>
      <c r="F80" s="43"/>
      <c r="G80" s="44" t="s">
        <v>282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283</v>
      </c>
      <c r="C81" s="43" t="s">
        <v>273</v>
      </c>
      <c r="D81" s="44" t="s">
        <v>284</v>
      </c>
      <c r="E81" s="43"/>
      <c r="F81" s="43"/>
      <c r="G81" s="44" t="s">
        <v>285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283</v>
      </c>
      <c r="C82" s="43" t="s">
        <v>273</v>
      </c>
      <c r="D82" s="44" t="s">
        <v>286</v>
      </c>
      <c r="E82" s="43"/>
      <c r="F82" s="43"/>
      <c r="G82" s="44" t="s">
        <v>287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283</v>
      </c>
      <c r="C83" s="43" t="s">
        <v>273</v>
      </c>
      <c r="D83" s="44" t="s">
        <v>288</v>
      </c>
      <c r="E83" s="43"/>
      <c r="F83" s="43"/>
      <c r="G83" s="44" t="s">
        <v>289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290</v>
      </c>
      <c r="C84" s="43" t="s">
        <v>273</v>
      </c>
      <c r="D84" s="44" t="s">
        <v>291</v>
      </c>
      <c r="E84" s="43"/>
      <c r="F84" s="43"/>
      <c r="G84" s="44" t="s">
        <v>292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290</v>
      </c>
      <c r="C85" s="43" t="s">
        <v>273</v>
      </c>
      <c r="D85" s="44" t="s">
        <v>293</v>
      </c>
      <c r="E85" s="43"/>
      <c r="F85" s="43"/>
      <c r="G85" s="44" t="s">
        <v>294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290</v>
      </c>
      <c r="C86" s="43" t="s">
        <v>273</v>
      </c>
      <c r="D86" s="44" t="s">
        <v>295</v>
      </c>
      <c r="E86" s="43"/>
      <c r="F86" s="43"/>
      <c r="G86" s="44" t="s">
        <v>296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297</v>
      </c>
      <c r="C87" s="43" t="s">
        <v>273</v>
      </c>
      <c r="D87" s="44" t="s">
        <v>298</v>
      </c>
      <c r="E87" s="43"/>
      <c r="F87" s="43"/>
      <c r="G87" s="44" t="s">
        <v>299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297</v>
      </c>
      <c r="C88" s="43" t="s">
        <v>273</v>
      </c>
      <c r="D88" s="44" t="s">
        <v>300</v>
      </c>
      <c r="E88" s="43"/>
      <c r="F88" s="43"/>
      <c r="G88" s="44" t="s">
        <v>301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297</v>
      </c>
      <c r="C89" s="43" t="s">
        <v>273</v>
      </c>
      <c r="D89" s="44" t="s">
        <v>302</v>
      </c>
      <c r="E89" s="43"/>
      <c r="F89" s="43"/>
      <c r="G89" s="44" t="s">
        <v>303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304</v>
      </c>
      <c r="C90" s="43" t="s">
        <v>273</v>
      </c>
      <c r="D90" s="44" t="s">
        <v>305</v>
      </c>
      <c r="E90" s="43"/>
      <c r="F90" s="43"/>
      <c r="G90" s="44" t="s">
        <v>306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304</v>
      </c>
      <c r="C91" s="43" t="s">
        <v>273</v>
      </c>
      <c r="D91" s="44" t="s">
        <v>307</v>
      </c>
      <c r="E91" s="43"/>
      <c r="F91" s="43"/>
      <c r="G91" s="44" t="s">
        <v>308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304</v>
      </c>
      <c r="C92" s="43" t="s">
        <v>273</v>
      </c>
      <c r="D92" s="44" t="s">
        <v>309</v>
      </c>
      <c r="E92" s="43"/>
      <c r="F92" s="43"/>
      <c r="G92" s="44" t="s">
        <v>310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311</v>
      </c>
      <c r="C93" s="43" t="s">
        <v>312</v>
      </c>
      <c r="D93" s="44" t="s">
        <v>313</v>
      </c>
      <c r="E93" s="43"/>
      <c r="F93" s="43"/>
      <c r="G93" s="44" t="s">
        <v>314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311</v>
      </c>
      <c r="C94" s="43" t="s">
        <v>312</v>
      </c>
      <c r="D94" s="44" t="s">
        <v>315</v>
      </c>
      <c r="E94" s="43"/>
      <c r="F94" s="43"/>
      <c r="G94" s="44" t="s">
        <v>316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317</v>
      </c>
      <c r="C95" s="43" t="s">
        <v>312</v>
      </c>
      <c r="D95" s="44" t="s">
        <v>318</v>
      </c>
      <c r="E95" s="43"/>
      <c r="F95" s="43"/>
      <c r="G95" s="44" t="s">
        <v>319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317</v>
      </c>
      <c r="C96" s="43" t="s">
        <v>312</v>
      </c>
      <c r="D96" s="44" t="s">
        <v>320</v>
      </c>
      <c r="E96" s="43"/>
      <c r="F96" s="43"/>
      <c r="G96" s="44" t="s">
        <v>321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322</v>
      </c>
      <c r="C97" s="43" t="s">
        <v>312</v>
      </c>
      <c r="D97" s="44" t="s">
        <v>323</v>
      </c>
      <c r="E97" s="43"/>
      <c r="F97" s="43"/>
      <c r="G97" s="44" t="s">
        <v>324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322</v>
      </c>
      <c r="C98" s="43" t="s">
        <v>312</v>
      </c>
      <c r="D98" s="44" t="s">
        <v>325</v>
      </c>
      <c r="E98" s="43"/>
      <c r="F98" s="43"/>
      <c r="G98" s="44" t="s">
        <v>326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327</v>
      </c>
      <c r="C99" s="43" t="s">
        <v>312</v>
      </c>
      <c r="D99" s="44" t="s">
        <v>328</v>
      </c>
      <c r="E99" s="43"/>
      <c r="F99" s="43"/>
      <c r="G99" s="44" t="s">
        <v>329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327</v>
      </c>
      <c r="C100" s="43" t="s">
        <v>312</v>
      </c>
      <c r="D100" s="44" t="s">
        <v>330</v>
      </c>
      <c r="E100" s="43"/>
      <c r="F100" s="43"/>
      <c r="G100" s="44" t="s">
        <v>331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332</v>
      </c>
      <c r="C101" s="43" t="s">
        <v>333</v>
      </c>
      <c r="D101" s="44" t="s">
        <v>334</v>
      </c>
      <c r="E101" s="43"/>
      <c r="F101" s="43"/>
      <c r="G101" s="44" t="s">
        <v>335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336</v>
      </c>
      <c r="C102" s="43" t="s">
        <v>333</v>
      </c>
      <c r="D102" s="44" t="s">
        <v>337</v>
      </c>
      <c r="E102" s="43"/>
      <c r="F102" s="43"/>
      <c r="G102" s="44" t="s">
        <v>338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339</v>
      </c>
      <c r="C103" s="43" t="s">
        <v>333</v>
      </c>
      <c r="D103" s="44" t="s">
        <v>340</v>
      </c>
      <c r="E103" s="43"/>
      <c r="F103" s="43"/>
      <c r="G103" s="44" t="s">
        <v>341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339</v>
      </c>
      <c r="C104" s="43" t="s">
        <v>333</v>
      </c>
      <c r="D104" s="44" t="s">
        <v>342</v>
      </c>
      <c r="E104" s="43"/>
      <c r="F104" s="43"/>
      <c r="G104" s="44" t="s">
        <v>343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344</v>
      </c>
      <c r="C105" s="43" t="s">
        <v>345</v>
      </c>
      <c r="D105" s="44" t="s">
        <v>346</v>
      </c>
      <c r="E105" s="43"/>
      <c r="F105" s="43"/>
      <c r="G105" s="44" t="s">
        <v>347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348</v>
      </c>
      <c r="C106" s="43" t="s">
        <v>345</v>
      </c>
      <c r="D106" s="44" t="s">
        <v>349</v>
      </c>
      <c r="E106" s="43"/>
      <c r="F106" s="43"/>
      <c r="G106" s="44" t="s">
        <v>350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351</v>
      </c>
      <c r="C107" s="43" t="s">
        <v>352</v>
      </c>
      <c r="D107" s="44" t="s">
        <v>353</v>
      </c>
      <c r="E107" s="43"/>
      <c r="F107" s="43"/>
      <c r="G107" s="44" t="s">
        <v>354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355</v>
      </c>
      <c r="C108" s="43" t="s">
        <v>356</v>
      </c>
      <c r="D108" s="44" t="s">
        <v>357</v>
      </c>
      <c r="E108" s="43"/>
      <c r="F108" s="43"/>
      <c r="G108" s="44" t="s">
        <v>358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P23" sqref="P23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359</v>
      </c>
    </row>
    <row r="2" spans="1:11" x14ac:dyDescent="0.25">
      <c r="A2" s="16" t="s">
        <v>360</v>
      </c>
    </row>
    <row r="4" spans="1:11" x14ac:dyDescent="0.25">
      <c r="A4" s="3" t="s">
        <v>58</v>
      </c>
      <c r="B4" s="3" t="s">
        <v>59</v>
      </c>
      <c r="C4" s="3" t="s">
        <v>60</v>
      </c>
      <c r="D4" s="3" t="s">
        <v>361</v>
      </c>
      <c r="E4" s="3" t="s">
        <v>362</v>
      </c>
      <c r="F4" s="3" t="s">
        <v>363</v>
      </c>
      <c r="G4" s="3" t="s">
        <v>364</v>
      </c>
      <c r="H4" s="3" t="s">
        <v>365</v>
      </c>
      <c r="I4" s="3" t="s">
        <v>366</v>
      </c>
      <c r="J4" s="3" t="s">
        <v>367</v>
      </c>
      <c r="K4" s="3" t="s">
        <v>368</v>
      </c>
    </row>
    <row r="5" spans="1:11" x14ac:dyDescent="0.25">
      <c r="A5" s="19">
        <v>1</v>
      </c>
      <c r="B5" s="20" t="s">
        <v>61</v>
      </c>
      <c r="C5" s="19" t="s">
        <v>62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3</v>
      </c>
      <c r="I5" s="19">
        <f>SUMPRODUCT((Fixtures!D$5:D$76=B5)*(Fixtures!F$5:F$76&lt;&gt;"")*Fixtures!F$5:F$76)+SUMPRODUCT((Fixtures!G$5:G$76=B5)*(Fixtures!E$5:E$76&lt;&gt;"")*Fixtures!E$5:E$76)</f>
        <v>2</v>
      </c>
      <c r="J5" s="19">
        <f t="shared" ref="J5:J52" si="0">H5-I5</f>
        <v>1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63</v>
      </c>
      <c r="C6" s="19" t="s">
        <v>62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2</v>
      </c>
      <c r="I6" s="19">
        <f>SUMPRODUCT((Fixtures!D$5:D$76=B6)*(Fixtures!F$5:F$76&lt;&gt;"")*Fixtures!F$5:F$76)+SUMPRODUCT((Fixtures!G$5:G$76=B6)*(Fixtures!E$5:E$76&lt;&gt;"")*Fixtures!E$5:E$76)</f>
        <v>3</v>
      </c>
      <c r="J6" s="19">
        <f t="shared" si="0"/>
        <v>-1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64</v>
      </c>
      <c r="C7" s="19" t="s">
        <v>62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0</v>
      </c>
      <c r="F7" s="19">
        <f>COUNTIFS(Fixtures!D$5:D$76,B7,Fixtures!J$5:J$76,"D")+COUNTIFS(Fixtures!G$5:G$76,B7,Fixtures!K$5:K$76,"D")</f>
        <v>1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2</v>
      </c>
      <c r="J7" s="19">
        <f t="shared" si="0"/>
        <v>0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2</v>
      </c>
    </row>
    <row r="8" spans="1:11" x14ac:dyDescent="0.25">
      <c r="A8" s="19">
        <v>4</v>
      </c>
      <c r="B8" s="20" t="s">
        <v>65</v>
      </c>
      <c r="C8" s="19" t="s">
        <v>62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1</v>
      </c>
      <c r="G8" s="19">
        <f>COUNTIFS(Fixtures!D$5:D$76,B8,Fixtures!J$5:J$76,"L")+COUNTIFS(Fixtures!G$5:G$76,B8,Fixtures!K$5:K$76,"L")</f>
        <v>0</v>
      </c>
      <c r="H8" s="19">
        <f>SUMPRODUCT((Fixtures!D$5:D$76=B8)*(Fixtures!E$5:E$76&lt;&gt;"")*Fixtures!E$5:E$76)+SUMPRODUCT((Fixtures!G$5:G$76=B8)*(Fixtures!F$5:F$76&lt;&gt;"")*Fixtures!F$5:F$76)</f>
        <v>2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0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2</v>
      </c>
    </row>
    <row r="9" spans="1:11" x14ac:dyDescent="0.25">
      <c r="A9" s="21">
        <v>5</v>
      </c>
      <c r="B9" s="22" t="s">
        <v>66</v>
      </c>
      <c r="C9" s="21" t="s">
        <v>67</v>
      </c>
      <c r="D9" s="21">
        <f>COUNTIFS(Fixtures!D$5:D$76,B9,Fixtures!E$5:E$76,"&lt;&gt;")+COUNTIFS(Fixtures!G$5:G$76,B9,Fixtures!F$5:F$76,"&lt;&gt;")</f>
        <v>0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0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0</v>
      </c>
      <c r="I9" s="21">
        <f>SUMPRODUCT((Fixtures!D$5:D$76=B9)*(Fixtures!F$5:F$76&lt;&gt;"")*Fixtures!F$5:F$76)+SUMPRODUCT((Fixtures!G$5:G$76=B9)*(Fixtures!E$5:E$76&lt;&gt;"")*Fixtures!E$5:E$76)</f>
        <v>0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0</v>
      </c>
    </row>
    <row r="10" spans="1:11" x14ac:dyDescent="0.25">
      <c r="A10" s="21">
        <v>6</v>
      </c>
      <c r="B10" s="22" t="s">
        <v>68</v>
      </c>
      <c r="C10" s="21" t="s">
        <v>67</v>
      </c>
      <c r="D10" s="21">
        <f>COUNTIFS(Fixtures!D$5:D$76,B10,Fixtures!E$5:E$76,"&lt;&gt;")+COUNTIFS(Fixtures!G$5:G$76,B10,Fixtures!F$5:F$76,"&lt;&gt;")</f>
        <v>0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0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0</v>
      </c>
      <c r="I10" s="21">
        <f>SUMPRODUCT((Fixtures!D$5:D$76=B10)*(Fixtures!F$5:F$76&lt;&gt;"")*Fixtures!F$5:F$76)+SUMPRODUCT((Fixtures!G$5:G$76=B10)*(Fixtures!E$5:E$76&lt;&gt;"")*Fixtures!E$5:E$76)</f>
        <v>0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0</v>
      </c>
    </row>
    <row r="11" spans="1:11" x14ac:dyDescent="0.25">
      <c r="A11" s="21">
        <v>7</v>
      </c>
      <c r="B11" s="22" t="s">
        <v>69</v>
      </c>
      <c r="C11" s="21" t="s">
        <v>67</v>
      </c>
      <c r="D11" s="21">
        <f>COUNTIFS(Fixtures!D$5:D$76,B11,Fixtures!E$5:E$76,"&lt;&gt;")+COUNTIFS(Fixtures!G$5:G$76,B11,Fixtures!F$5:F$76,"&lt;&gt;")</f>
        <v>0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0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0</v>
      </c>
      <c r="I11" s="21">
        <f>SUMPRODUCT((Fixtures!D$5:D$76=B11)*(Fixtures!F$5:F$76&lt;&gt;"")*Fixtures!F$5:F$76)+SUMPRODUCT((Fixtures!G$5:G$76=B11)*(Fixtures!E$5:E$76&lt;&gt;"")*Fixtures!E$5:E$76)</f>
        <v>0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0</v>
      </c>
    </row>
    <row r="12" spans="1:11" x14ac:dyDescent="0.25">
      <c r="A12" s="21">
        <v>8</v>
      </c>
      <c r="B12" s="22" t="s">
        <v>70</v>
      </c>
      <c r="C12" s="21" t="s">
        <v>67</v>
      </c>
      <c r="D12" s="21">
        <f>COUNTIFS(Fixtures!D$5:D$76,B12,Fixtures!E$5:E$76,"&lt;&gt;")+COUNTIFS(Fixtures!G$5:G$76,B12,Fixtures!F$5:F$76,"&lt;&gt;")</f>
        <v>0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0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0</v>
      </c>
      <c r="I12" s="21">
        <f>SUMPRODUCT((Fixtures!D$5:D$76=B12)*(Fixtures!F$5:F$76&lt;&gt;"")*Fixtures!F$5:F$76)+SUMPRODUCT((Fixtures!G$5:G$76=B12)*(Fixtures!E$5:E$76&lt;&gt;"")*Fixtures!E$5:E$76)</f>
        <v>0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0</v>
      </c>
    </row>
    <row r="13" spans="1:11" x14ac:dyDescent="0.25">
      <c r="A13" s="25">
        <v>9</v>
      </c>
      <c r="B13" s="26" t="s">
        <v>71</v>
      </c>
      <c r="C13" s="25" t="s">
        <v>72</v>
      </c>
      <c r="D13" s="25">
        <f>COUNTIFS(Fixtures!D$5:D$76,B13,Fixtures!E$5:E$76,"&lt;&gt;")+COUNTIFS(Fixtures!G$5:G$76,B13,Fixtures!F$5:F$76,"&lt;&gt;")</f>
        <v>0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0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0</v>
      </c>
      <c r="I13" s="25">
        <f>SUMPRODUCT((Fixtures!D$5:D$76=B13)*(Fixtures!F$5:F$76&lt;&gt;"")*Fixtures!F$5:F$76)+SUMPRODUCT((Fixtures!G$5:G$76=B13)*(Fixtures!E$5:E$76&lt;&gt;"")*Fixtures!E$5:E$76)</f>
        <v>0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0</v>
      </c>
    </row>
    <row r="14" spans="1:11" x14ac:dyDescent="0.25">
      <c r="A14" s="25">
        <v>10</v>
      </c>
      <c r="B14" s="26" t="s">
        <v>73</v>
      </c>
      <c r="C14" s="25" t="s">
        <v>72</v>
      </c>
      <c r="D14" s="25">
        <f>COUNTIFS(Fixtures!D$5:D$76,B14,Fixtures!E$5:E$76,"&lt;&gt;")+COUNTIFS(Fixtures!G$5:G$76,B14,Fixtures!F$5:F$76,"&lt;&gt;")</f>
        <v>0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0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0</v>
      </c>
      <c r="I14" s="25">
        <f>SUMPRODUCT((Fixtures!D$5:D$76=B14)*(Fixtures!F$5:F$76&lt;&gt;"")*Fixtures!F$5:F$76)+SUMPRODUCT((Fixtures!G$5:G$76=B14)*(Fixtures!E$5:E$76&lt;&gt;"")*Fixtures!E$5:E$76)</f>
        <v>0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0</v>
      </c>
    </row>
    <row r="15" spans="1:11" x14ac:dyDescent="0.25">
      <c r="A15" s="25">
        <v>11</v>
      </c>
      <c r="B15" s="26" t="s">
        <v>74</v>
      </c>
      <c r="C15" s="25" t="s">
        <v>72</v>
      </c>
      <c r="D15" s="25">
        <f>COUNTIFS(Fixtures!D$5:D$76,B15,Fixtures!E$5:E$76,"&lt;&gt;")+COUNTIFS(Fixtures!G$5:G$76,B15,Fixtures!F$5:F$76,"&lt;&gt;")</f>
        <v>0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0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0</v>
      </c>
      <c r="J15" s="25">
        <f t="shared" si="0"/>
        <v>0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75</v>
      </c>
      <c r="C16" s="25" t="s">
        <v>72</v>
      </c>
      <c r="D16" s="25">
        <f>COUNTIFS(Fixtures!D$5:D$76,B16,Fixtures!E$5:E$76,"&lt;&gt;")+COUNTIFS(Fixtures!G$5:G$76,B16,Fixtures!F$5:F$76,"&lt;&gt;")</f>
        <v>0</v>
      </c>
      <c r="E16" s="25">
        <f>COUNTIFS(Fixtures!D$5:D$76,B16,Fixtures!J$5:J$76,"W")+COUNTIFS(Fixtures!G$5:G$76,B16,Fixtures!K$5:K$76,"W")</f>
        <v>0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0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0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0</v>
      </c>
    </row>
    <row r="17" spans="1:11" x14ac:dyDescent="0.25">
      <c r="A17" s="23">
        <v>13</v>
      </c>
      <c r="B17" s="24" t="s">
        <v>76</v>
      </c>
      <c r="C17" s="23" t="s">
        <v>77</v>
      </c>
      <c r="D17" s="23">
        <f>COUNTIFS(Fixtures!D$5:D$76,B17,Fixtures!E$5:E$76,"&lt;&gt;")+COUNTIFS(Fixtures!G$5:G$76,B17,Fixtures!F$5:F$76,"&lt;&gt;")</f>
        <v>0</v>
      </c>
      <c r="E17" s="23">
        <f>COUNTIFS(Fixtures!D$5:D$76,B17,Fixtures!J$5:J$76,"W")+COUNTIFS(Fixtures!G$5:G$76,B17,Fixtures!K$5:K$76,"W")</f>
        <v>0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0</v>
      </c>
      <c r="I17" s="23">
        <f>SUMPRODUCT((Fixtures!D$5:D$76=B17)*(Fixtures!F$5:F$76&lt;&gt;"")*Fixtures!F$5:F$76)+SUMPRODUCT((Fixtures!G$5:G$76=B17)*(Fixtures!E$5:E$76&lt;&gt;"")*Fixtures!E$5:E$76)</f>
        <v>0</v>
      </c>
      <c r="J17" s="23">
        <f t="shared" si="0"/>
        <v>0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0</v>
      </c>
    </row>
    <row r="18" spans="1:11" x14ac:dyDescent="0.25">
      <c r="A18" s="23">
        <v>14</v>
      </c>
      <c r="B18" s="24" t="s">
        <v>78</v>
      </c>
      <c r="C18" s="23" t="s">
        <v>77</v>
      </c>
      <c r="D18" s="23">
        <f>COUNTIFS(Fixtures!D$5:D$76,B18,Fixtures!E$5:E$76,"&lt;&gt;")+COUNTIFS(Fixtures!G$5:G$76,B18,Fixtures!F$5:F$76,"&lt;&gt;")</f>
        <v>0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0</v>
      </c>
      <c r="H18" s="23">
        <f>SUMPRODUCT((Fixtures!D$5:D$76=B18)*(Fixtures!E$5:E$76&lt;&gt;"")*Fixtures!E$5:E$76)+SUMPRODUCT((Fixtures!G$5:G$76=B18)*(Fixtures!F$5:F$76&lt;&gt;"")*Fixtures!F$5:F$76)</f>
        <v>0</v>
      </c>
      <c r="I18" s="23">
        <f>SUMPRODUCT((Fixtures!D$5:D$76=B18)*(Fixtures!F$5:F$76&lt;&gt;"")*Fixtures!F$5:F$76)+SUMPRODUCT((Fixtures!G$5:G$76=B18)*(Fixtures!E$5:E$76&lt;&gt;"")*Fixtures!E$5:E$76)</f>
        <v>0</v>
      </c>
      <c r="J18" s="23">
        <f t="shared" si="0"/>
        <v>0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79</v>
      </c>
      <c r="C19" s="23" t="s">
        <v>77</v>
      </c>
      <c r="D19" s="23">
        <f>COUNTIFS(Fixtures!D$5:D$76,B19,Fixtures!E$5:E$76,"&lt;&gt;")+COUNTIFS(Fixtures!G$5:G$76,B19,Fixtures!F$5:F$76,"&lt;&gt;")</f>
        <v>0</v>
      </c>
      <c r="E19" s="23">
        <f>COUNTIFS(Fixtures!D$5:D$76,B19,Fixtures!J$5:J$76,"W")+COUNTIFS(Fixtures!G$5:G$76,B19,Fixtures!K$5:K$76,"W")</f>
        <v>0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0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0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0</v>
      </c>
    </row>
    <row r="20" spans="1:11" x14ac:dyDescent="0.25">
      <c r="A20" s="23">
        <v>16</v>
      </c>
      <c r="B20" s="24" t="s">
        <v>80</v>
      </c>
      <c r="C20" s="23" t="s">
        <v>77</v>
      </c>
      <c r="D20" s="23">
        <f>COUNTIFS(Fixtures!D$5:D$76,B20,Fixtures!E$5:E$76,"&lt;&gt;")+COUNTIFS(Fixtures!G$5:G$76,B20,Fixtures!F$5:F$76,"&lt;&gt;")</f>
        <v>0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0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0</v>
      </c>
      <c r="J20" s="23">
        <f t="shared" si="0"/>
        <v>0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81</v>
      </c>
      <c r="C21" s="27" t="s">
        <v>82</v>
      </c>
      <c r="D21" s="27">
        <f>COUNTIFS(Fixtures!D$5:D$76,B21,Fixtures!E$5:E$76,"&lt;&gt;")+COUNTIFS(Fixtures!G$5:G$76,B21,Fixtures!F$5:F$76,"&lt;&gt;")</f>
        <v>0</v>
      </c>
      <c r="E21" s="27">
        <f>COUNTIFS(Fixtures!D$5:D$76,B21,Fixtures!J$5:J$76,"W")+COUNTIFS(Fixtures!G$5:G$76,B21,Fixtures!K$5:K$76,"W")</f>
        <v>0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0</v>
      </c>
      <c r="I21" s="27">
        <f>SUMPRODUCT((Fixtures!D$5:D$76=B21)*(Fixtures!F$5:F$76&lt;&gt;"")*Fixtures!F$5:F$76)+SUMPRODUCT((Fixtures!G$5:G$76=B21)*(Fixtures!E$5:E$76&lt;&gt;"")*Fixtures!E$5:E$76)</f>
        <v>0</v>
      </c>
      <c r="J21" s="27">
        <f t="shared" si="0"/>
        <v>0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0</v>
      </c>
    </row>
    <row r="22" spans="1:11" x14ac:dyDescent="0.25">
      <c r="A22" s="27">
        <v>18</v>
      </c>
      <c r="B22" s="28" t="s">
        <v>83</v>
      </c>
      <c r="C22" s="27" t="s">
        <v>82</v>
      </c>
      <c r="D22" s="27">
        <f>COUNTIFS(Fixtures!D$5:D$76,B22,Fixtures!E$5:E$76,"&lt;&gt;")+COUNTIFS(Fixtures!G$5:G$76,B22,Fixtures!F$5:F$76,"&lt;&gt;")</f>
        <v>0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0</v>
      </c>
      <c r="H22" s="27">
        <f>SUMPRODUCT((Fixtures!D$5:D$76=B22)*(Fixtures!E$5:E$76&lt;&gt;"")*Fixtures!E$5:E$76)+SUMPRODUCT((Fixtures!G$5:G$76=B22)*(Fixtures!F$5:F$76&lt;&gt;"")*Fixtures!F$5:F$76)</f>
        <v>0</v>
      </c>
      <c r="I22" s="27">
        <f>SUMPRODUCT((Fixtures!D$5:D$76=B22)*(Fixtures!F$5:F$76&lt;&gt;"")*Fixtures!F$5:F$76)+SUMPRODUCT((Fixtures!G$5:G$76=B22)*(Fixtures!E$5:E$76&lt;&gt;"")*Fixtures!E$5:E$76)</f>
        <v>0</v>
      </c>
      <c r="J22" s="27">
        <f t="shared" si="0"/>
        <v>0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84</v>
      </c>
      <c r="C23" s="27" t="s">
        <v>82</v>
      </c>
      <c r="D23" s="27">
        <f>COUNTIFS(Fixtures!D$5:D$76,B23,Fixtures!E$5:E$76,"&lt;&gt;")+COUNTIFS(Fixtures!G$5:G$76,B23,Fixtures!F$5:F$76,"&lt;&gt;")</f>
        <v>0</v>
      </c>
      <c r="E23" s="27">
        <f>COUNTIFS(Fixtures!D$5:D$76,B23,Fixtures!J$5:J$76,"W")+COUNTIFS(Fixtures!G$5:G$76,B23,Fixtures!K$5:K$76,"W")</f>
        <v>0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0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0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0</v>
      </c>
    </row>
    <row r="24" spans="1:11" x14ac:dyDescent="0.25">
      <c r="A24" s="27">
        <v>20</v>
      </c>
      <c r="B24" s="28" t="s">
        <v>85</v>
      </c>
      <c r="C24" s="27" t="s">
        <v>82</v>
      </c>
      <c r="D24" s="27">
        <f>COUNTIFS(Fixtures!D$5:D$76,B24,Fixtures!E$5:E$76,"&lt;&gt;")+COUNTIFS(Fixtures!G$5:G$76,B24,Fixtures!F$5:F$76,"&lt;&gt;")</f>
        <v>0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0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0</v>
      </c>
      <c r="J24" s="27">
        <f t="shared" si="0"/>
        <v>0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86</v>
      </c>
      <c r="C25" s="29" t="s">
        <v>87</v>
      </c>
      <c r="D25" s="29">
        <f>COUNTIFS(Fixtures!D$5:D$76,B25,Fixtures!E$5:E$76,"&lt;&gt;")+COUNTIFS(Fixtures!G$5:G$76,B25,Fixtures!F$5:F$76,"&lt;&gt;")</f>
        <v>0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0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0</v>
      </c>
      <c r="I25" s="29">
        <f>SUMPRODUCT((Fixtures!D$5:D$76=B25)*(Fixtures!F$5:F$76&lt;&gt;"")*Fixtures!F$5:F$76)+SUMPRODUCT((Fixtures!G$5:G$76=B25)*(Fixtures!E$5:E$76&lt;&gt;"")*Fixtures!E$5:E$76)</f>
        <v>0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0</v>
      </c>
    </row>
    <row r="26" spans="1:11" x14ac:dyDescent="0.25">
      <c r="A26" s="29">
        <v>22</v>
      </c>
      <c r="B26" s="30" t="s">
        <v>88</v>
      </c>
      <c r="C26" s="29" t="s">
        <v>87</v>
      </c>
      <c r="D26" s="29">
        <f>COUNTIFS(Fixtures!D$5:D$76,B26,Fixtures!E$5:E$76,"&lt;&gt;")+COUNTIFS(Fixtures!G$5:G$76,B26,Fixtures!F$5:F$76,"&lt;&gt;")</f>
        <v>0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0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0</v>
      </c>
      <c r="I26" s="29">
        <f>SUMPRODUCT((Fixtures!D$5:D$76=B26)*(Fixtures!F$5:F$76&lt;&gt;"")*Fixtures!F$5:F$76)+SUMPRODUCT((Fixtures!G$5:G$76=B26)*(Fixtures!E$5:E$76&lt;&gt;"")*Fixtures!E$5:E$76)</f>
        <v>0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0</v>
      </c>
    </row>
    <row r="27" spans="1:11" x14ac:dyDescent="0.25">
      <c r="A27" s="29">
        <v>23</v>
      </c>
      <c r="B27" s="30" t="s">
        <v>89</v>
      </c>
      <c r="C27" s="29" t="s">
        <v>87</v>
      </c>
      <c r="D27" s="29">
        <f>COUNTIFS(Fixtures!D$5:D$76,B27,Fixtures!E$5:E$76,"&lt;&gt;")+COUNTIFS(Fixtures!G$5:G$76,B27,Fixtures!F$5:F$76,"&lt;&gt;")</f>
        <v>0</v>
      </c>
      <c r="E27" s="29">
        <f>COUNTIFS(Fixtures!D$5:D$76,B27,Fixtures!J$5:J$76,"W")+COUNTIFS(Fixtures!G$5:G$76,B27,Fixtures!K$5:K$76,"W")</f>
        <v>0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0</v>
      </c>
      <c r="I27" s="29">
        <f>SUMPRODUCT((Fixtures!D$5:D$76=B27)*(Fixtures!F$5:F$76&lt;&gt;"")*Fixtures!F$5:F$76)+SUMPRODUCT((Fixtures!G$5:G$76=B27)*(Fixtures!E$5:E$76&lt;&gt;"")*Fixtures!E$5:E$76)</f>
        <v>0</v>
      </c>
      <c r="J27" s="29">
        <f t="shared" si="0"/>
        <v>0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0</v>
      </c>
    </row>
    <row r="28" spans="1:11" x14ac:dyDescent="0.25">
      <c r="A28" s="29">
        <v>24</v>
      </c>
      <c r="B28" s="30" t="s">
        <v>90</v>
      </c>
      <c r="C28" s="29" t="s">
        <v>87</v>
      </c>
      <c r="D28" s="29">
        <f>COUNTIFS(Fixtures!D$5:D$76,B28,Fixtures!E$5:E$76,"&lt;&gt;")+COUNTIFS(Fixtures!G$5:G$76,B28,Fixtures!F$5:F$76,"&lt;&gt;")</f>
        <v>0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0</v>
      </c>
      <c r="H28" s="29">
        <f>SUMPRODUCT((Fixtures!D$5:D$76=B28)*(Fixtures!E$5:E$76&lt;&gt;"")*Fixtures!E$5:E$76)+SUMPRODUCT((Fixtures!G$5:G$76=B28)*(Fixtures!F$5:F$76&lt;&gt;"")*Fixtures!F$5:F$76)</f>
        <v>0</v>
      </c>
      <c r="I28" s="29">
        <f>SUMPRODUCT((Fixtures!D$5:D$76=B28)*(Fixtures!F$5:F$76&lt;&gt;"")*Fixtures!F$5:F$76)+SUMPRODUCT((Fixtures!G$5:G$76=B28)*(Fixtures!E$5:E$76&lt;&gt;"")*Fixtures!E$5:E$76)</f>
        <v>0</v>
      </c>
      <c r="J28" s="29">
        <f t="shared" si="0"/>
        <v>0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91</v>
      </c>
      <c r="C29" s="33" t="s">
        <v>92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25">
      <c r="A30" s="33">
        <v>26</v>
      </c>
      <c r="B30" s="34" t="s">
        <v>93</v>
      </c>
      <c r="C30" s="33" t="s">
        <v>92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25">
      <c r="A31" s="33">
        <v>27</v>
      </c>
      <c r="B31" s="34" t="s">
        <v>94</v>
      </c>
      <c r="C31" s="33" t="s">
        <v>92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25">
      <c r="A32" s="33">
        <v>28</v>
      </c>
      <c r="B32" s="34" t="s">
        <v>95</v>
      </c>
      <c r="C32" s="33" t="s">
        <v>92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25">
      <c r="A33" s="31">
        <v>29</v>
      </c>
      <c r="B33" s="32" t="s">
        <v>96</v>
      </c>
      <c r="C33" s="31" t="s">
        <v>97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25">
      <c r="A34" s="31">
        <v>30</v>
      </c>
      <c r="B34" s="32" t="s">
        <v>98</v>
      </c>
      <c r="C34" s="31" t="s">
        <v>97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25">
      <c r="A35" s="31">
        <v>31</v>
      </c>
      <c r="B35" s="32" t="s">
        <v>99</v>
      </c>
      <c r="C35" s="31" t="s">
        <v>97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25">
      <c r="A36" s="31">
        <v>32</v>
      </c>
      <c r="B36" s="32" t="s">
        <v>100</v>
      </c>
      <c r="C36" s="31" t="s">
        <v>97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25">
      <c r="A37" s="35">
        <v>33</v>
      </c>
      <c r="B37" s="36" t="s">
        <v>101</v>
      </c>
      <c r="C37" s="35" t="s">
        <v>102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103</v>
      </c>
      <c r="C38" s="35" t="s">
        <v>102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104</v>
      </c>
      <c r="C39" s="35" t="s">
        <v>102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105</v>
      </c>
      <c r="C40" s="35" t="s">
        <v>102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106</v>
      </c>
      <c r="C41" s="37" t="s">
        <v>107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108</v>
      </c>
      <c r="C42" s="37" t="s">
        <v>107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109</v>
      </c>
      <c r="C43" s="37" t="s">
        <v>107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110</v>
      </c>
      <c r="C44" s="37" t="s">
        <v>107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111</v>
      </c>
      <c r="C45" s="41" t="s">
        <v>112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113</v>
      </c>
      <c r="C46" s="41" t="s">
        <v>112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114</v>
      </c>
      <c r="C47" s="41" t="s">
        <v>112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115</v>
      </c>
      <c r="C48" s="41" t="s">
        <v>112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116</v>
      </c>
      <c r="C49" s="39" t="s">
        <v>117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118</v>
      </c>
      <c r="C50" s="39" t="s">
        <v>117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119</v>
      </c>
      <c r="C51" s="39" t="s">
        <v>117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120</v>
      </c>
      <c r="C52" s="39" t="s">
        <v>117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369</v>
      </c>
    </row>
    <row r="2" spans="1:14" x14ac:dyDescent="0.25">
      <c r="A2" s="16" t="s">
        <v>370</v>
      </c>
    </row>
    <row r="4" spans="1:14" x14ac:dyDescent="0.25">
      <c r="A4" s="3" t="s">
        <v>371</v>
      </c>
      <c r="B4" s="3" t="s">
        <v>372</v>
      </c>
      <c r="C4" s="3" t="s">
        <v>373</v>
      </c>
      <c r="D4" s="3" t="s">
        <v>374</v>
      </c>
      <c r="E4" s="3" t="s">
        <v>375</v>
      </c>
      <c r="F4" s="3" t="s">
        <v>376</v>
      </c>
      <c r="H4" s="45" t="s">
        <v>372</v>
      </c>
      <c r="I4" s="45" t="s">
        <v>59</v>
      </c>
      <c r="J4" s="45" t="s">
        <v>368</v>
      </c>
      <c r="K4" s="45" t="s">
        <v>375</v>
      </c>
      <c r="L4" s="45" t="s">
        <v>376</v>
      </c>
      <c r="M4" s="45" t="s">
        <v>367</v>
      </c>
      <c r="N4" s="45" t="s">
        <v>371</v>
      </c>
    </row>
    <row r="5" spans="1:14" x14ac:dyDescent="0.25">
      <c r="A5" s="46">
        <v>1</v>
      </c>
      <c r="B5" s="47" t="str">
        <f>IFERROR(INDEX($H$5:$H$104,MATCH(1,$N$5:$N$104,0)),"")</f>
        <v>Olivia White</v>
      </c>
      <c r="C5" s="47" t="str">
        <f>IFERROR(INDEX($I$5:$I$104,MATCH(1,$N$5:$N$104,0)),"")</f>
        <v>Mexico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James Wilson</v>
      </c>
      <c r="I5" t="str">
        <f>IF(Allocation!C6="","",Allocation!C6)</f>
        <v>Argentina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0</v>
      </c>
      <c r="K5">
        <f>IF(I5="","",COUNTIFS(Fixtures!D$5:D$76,I5,Fixtures!J$5:J$76,"W")+COUNTIFS(Fixtures!G$5:G$76,I5,Fixtures!K$5:K$76,"W"))</f>
        <v>0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0</v>
      </c>
      <c r="N5">
        <f>IF(H5="","",COUNTIFS($J$5:$J$104,"&gt;"&amp;J5,$H$5:$H$104,"&lt;&gt;")+COUNTIFS($J$5:$J5,J5,$H$5:$H5,"&lt;&gt;"))</f>
        <v>4</v>
      </c>
    </row>
    <row r="6" spans="1:14" x14ac:dyDescent="0.25">
      <c r="A6" s="48">
        <v>2</v>
      </c>
      <c r="B6" s="49" t="str">
        <f>IFERROR(INDEX($H$5:$H$104,MATCH(2,$N$5:$N$104,0)),"")</f>
        <v>Tom Nguyen</v>
      </c>
      <c r="C6" s="49" t="str">
        <f>IFERROR(INDEX($I$5:$I$104,MATCH(2,$N$5:$N$104,0)),"")</f>
        <v>Czechia</v>
      </c>
      <c r="D6" s="48">
        <f>IFERROR(INDEX($J$5:$J$104,MATCH(2,$N$5:$N$104,0)),"")</f>
        <v>2</v>
      </c>
      <c r="E6" s="48">
        <f>IFERROR(INDEX($K$5:$K$104,MATCH(2,$N$5:$N$104,0)),"")</f>
        <v>0</v>
      </c>
      <c r="F6" s="48">
        <f>IFERROR(INDEX($L$5:$L$104,MATCH(2,$N$5:$N$104,0)),"")</f>
        <v>1</v>
      </c>
      <c r="H6" t="str">
        <f>IF(Allocation!B7="","",Allocation!B7)</f>
        <v>Sarah Chen</v>
      </c>
      <c r="I6" t="str">
        <f>IF(Allocation!C7="","",Allocation!C7)</f>
        <v>Brazil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0</v>
      </c>
      <c r="K6">
        <f>IF(I6="","",COUNTIFS(Fixtures!D$5:D$76,I6,Fixtures!J$5:J$76,"W")+COUNTIFS(Fixtures!G$5:G$76,I6,Fixtures!K$5:K$76,"W"))</f>
        <v>0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0</v>
      </c>
      <c r="N6">
        <f>IF(H6="","",COUNTIFS($J$5:$J$104,"&gt;"&amp;J6,$H$5:$H$104,"&lt;&gt;")+COUNTIFS($J$5:$J6,J6,$H$5:$H6,"&lt;&gt;"))</f>
        <v>5</v>
      </c>
    </row>
    <row r="7" spans="1:14" x14ac:dyDescent="0.25">
      <c r="A7" s="50">
        <v>3</v>
      </c>
      <c r="B7" s="51" t="str">
        <f>IFERROR(INDEX($H$5:$H$104,MATCH(3,$N$5:$N$104,0)),"")</f>
        <v>Zoe Carter</v>
      </c>
      <c r="C7" s="51" t="str">
        <f>IFERROR(INDEX($I$5:$I$104,MATCH(3,$N$5:$N$104,0)),"")</f>
        <v>South Korea</v>
      </c>
      <c r="D7" s="50">
        <f>IFERROR(INDEX($J$5:$J$104,MATCH(3,$N$5:$N$104,0)),"")</f>
        <v>2</v>
      </c>
      <c r="E7" s="50">
        <f>IFERROR(INDEX($K$5:$K$104,MATCH(3,$N$5:$N$104,0)),"")</f>
        <v>0</v>
      </c>
      <c r="F7" s="50">
        <f>IFERROR(INDEX($L$5:$L$104,MATCH(3,$N$5:$N$104,0)),"")</f>
        <v>1</v>
      </c>
      <c r="H7" t="str">
        <f>IF(Allocation!B8="","",Allocation!B8)</f>
        <v>Michael O'Brien</v>
      </c>
      <c r="I7" t="str">
        <f>IF(Allocation!C8="","",Allocation!C8)</f>
        <v>Uruguay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6</v>
      </c>
    </row>
    <row r="8" spans="1:14" x14ac:dyDescent="0.25">
      <c r="A8" s="43">
        <v>4</v>
      </c>
      <c r="B8" s="44" t="str">
        <f>IFERROR(INDEX($H$5:$H$104,MATCH(4,$N$5:$N$104,0)),"")</f>
        <v>James Wilson</v>
      </c>
      <c r="C8" s="44" t="str">
        <f>IFERROR(INDEX($I$5:$I$104,MATCH(4,$N$5:$N$104,0)),"")</f>
        <v>Argentina</v>
      </c>
      <c r="D8" s="43">
        <f>IFERROR(INDEX($J$5:$J$104,MATCH(4,$N$5:$N$104,0)),"")</f>
        <v>0</v>
      </c>
      <c r="E8" s="43">
        <f>IFERROR(INDEX($K$5:$K$104,MATCH(4,$N$5:$N$104,0)),"")</f>
        <v>0</v>
      </c>
      <c r="F8" s="43">
        <f>IFERROR(INDEX($L$5:$L$104,MATCH(4,$N$5:$N$104,0)),"")</f>
        <v>0</v>
      </c>
      <c r="H8" t="str">
        <f>IF(Allocation!B9="","",Allocation!B9)</f>
        <v>Emma Thompson</v>
      </c>
      <c r="I8" t="str">
        <f>IF(Allocation!C9="","",Allocation!C9)</f>
        <v>Scotland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0</v>
      </c>
      <c r="N8">
        <f>IF(H8="","",COUNTIFS($J$5:$J$104,"&gt;"&amp;J8,$H$5:$H$104,"&lt;&gt;")+COUNTIFS($J$5:$J8,J8,$H$5:$H8,"&lt;&gt;"))</f>
        <v>7</v>
      </c>
    </row>
    <row r="9" spans="1:14" x14ac:dyDescent="0.25">
      <c r="A9" s="43">
        <v>5</v>
      </c>
      <c r="B9" s="44" t="str">
        <f>IFERROR(INDEX($H$5:$H$104,MATCH(5,$N$5:$N$104,0)),"")</f>
        <v>Sarah Chen</v>
      </c>
      <c r="C9" s="44" t="str">
        <f>IFERROR(INDEX($I$5:$I$104,MATCH(5,$N$5:$N$104,0)),"")</f>
        <v>Brazil</v>
      </c>
      <c r="D9" s="43">
        <f>IFERROR(INDEX($J$5:$J$104,MATCH(5,$N$5:$N$104,0)),"")</f>
        <v>0</v>
      </c>
      <c r="E9" s="43">
        <f>IFERROR(INDEX($K$5:$K$104,MATCH(5,$N$5:$N$104,0)),"")</f>
        <v>0</v>
      </c>
      <c r="F9" s="43">
        <f>IFERROR(INDEX($L$5:$L$104,MATCH(5,$N$5:$N$104,0)),"")</f>
        <v>0</v>
      </c>
      <c r="H9" t="str">
        <f>IF(Allocation!B10="","",Allocation!B10)</f>
        <v>David Kumar</v>
      </c>
      <c r="I9" t="str">
        <f>IF(Allocation!C10="","",Allocation!C10)</f>
        <v>DR Congo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0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0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8</v>
      </c>
    </row>
    <row r="10" spans="1:14" x14ac:dyDescent="0.25">
      <c r="A10" s="43">
        <v>6</v>
      </c>
      <c r="B10" s="44" t="str">
        <f>IFERROR(INDEX($H$5:$H$104,MATCH(6,$N$5:$N$104,0)),"")</f>
        <v>Michael O'Brien</v>
      </c>
      <c r="C10" s="44" t="str">
        <f>IFERROR(INDEX($I$5:$I$104,MATCH(6,$N$5:$N$104,0)),"")</f>
        <v>Uruguay</v>
      </c>
      <c r="D10" s="43">
        <f>IFERROR(INDEX($J$5:$J$104,MATCH(6,$N$5:$N$104,0)),"")</f>
        <v>0</v>
      </c>
      <c r="E10" s="43">
        <f>IFERROR(INDEX($K$5:$K$104,MATCH(6,$N$5:$N$104,0)),"")</f>
        <v>0</v>
      </c>
      <c r="F10" s="43">
        <f>IFERROR(INDEX($L$5:$L$104,MATCH(6,$N$5:$N$104,0)),"")</f>
        <v>0</v>
      </c>
      <c r="H10" t="str">
        <f>IF(Allocation!B11="","",Allocation!B11)</f>
        <v>Rachel Stewart</v>
      </c>
      <c r="I10" t="str">
        <f>IF(Allocation!C11="","",Allocation!C11)</f>
        <v>Türkiye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9</v>
      </c>
    </row>
    <row r="11" spans="1:14" x14ac:dyDescent="0.25">
      <c r="A11" s="43">
        <v>7</v>
      </c>
      <c r="B11" s="44" t="str">
        <f>IFERROR(INDEX($H$5:$H$104,MATCH(7,$N$5:$N$104,0)),"")</f>
        <v>Emma Thompson</v>
      </c>
      <c r="C11" s="44" t="str">
        <f>IFERROR(INDEX($I$5:$I$104,MATCH(7,$N$5:$N$104,0)),"")</f>
        <v>Scotland</v>
      </c>
      <c r="D11" s="43">
        <f>IFERROR(INDEX($J$5:$J$104,MATCH(7,$N$5:$N$104,0)),"")</f>
        <v>0</v>
      </c>
      <c r="E11" s="43">
        <f>IFERROR(INDEX($K$5:$K$104,MATCH(7,$N$5:$N$104,0)),"")</f>
        <v>0</v>
      </c>
      <c r="F11" s="43">
        <f>IFERROR(INDEX($L$5:$L$104,MATCH(7,$N$5:$N$104,0)),"")</f>
        <v>0</v>
      </c>
      <c r="H11" t="str">
        <f>IF(Allocation!B12="","",Allocation!B12)</f>
        <v>Chris Martinez</v>
      </c>
      <c r="I11" t="str">
        <f>IF(Allocation!C12="","",Allocation!C12)</f>
        <v>Belgium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0</v>
      </c>
      <c r="N11">
        <f>IF(H11="","",COUNTIFS($J$5:$J$104,"&gt;"&amp;J11,$H$5:$H$104,"&lt;&gt;")+COUNTIFS($J$5:$J11,J11,$H$5:$H11,"&lt;&gt;"))</f>
        <v>10</v>
      </c>
    </row>
    <row r="12" spans="1:14" x14ac:dyDescent="0.25">
      <c r="A12" s="43">
        <v>8</v>
      </c>
      <c r="B12" s="44" t="str">
        <f>IFERROR(INDEX($H$5:$H$104,MATCH(8,$N$5:$N$104,0)),"")</f>
        <v>David Kumar</v>
      </c>
      <c r="C12" s="44" t="str">
        <f>IFERROR(INDEX($I$5:$I$104,MATCH(8,$N$5:$N$104,0)),"")</f>
        <v>DR Congo</v>
      </c>
      <c r="D12" s="43">
        <f>IFERROR(INDEX($J$5:$J$104,MATCH(8,$N$5:$N$104,0)),"")</f>
        <v>0</v>
      </c>
      <c r="E12" s="43">
        <f>IFERROR(INDEX($K$5:$K$104,MATCH(8,$N$5:$N$104,0)),"")</f>
        <v>0</v>
      </c>
      <c r="F12" s="43">
        <f>IFERROR(INDEX($L$5:$L$104,MATCH(8,$N$5:$N$104,0)),"")</f>
        <v>0</v>
      </c>
      <c r="H12" t="str">
        <f>IF(Allocation!B13="","",Allocation!B13)</f>
        <v>Jessica Park</v>
      </c>
      <c r="I12" t="str">
        <f>IF(Allocation!C13="","",Allocation!C13)</f>
        <v>Sweden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0</v>
      </c>
      <c r="K12">
        <f>IF(I12="","",COUNTIFS(Fixtures!D$5:D$76,I12,Fixtures!J$5:J$76,"W")+COUNTIFS(Fixtures!G$5:G$76,I12,Fixtures!K$5:K$76,"W"))</f>
        <v>0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0</v>
      </c>
      <c r="N12">
        <f>IF(H12="","",COUNTIFS($J$5:$J$104,"&gt;"&amp;J12,$H$5:$H$104,"&lt;&gt;")+COUNTIFS($J$5:$J12,J12,$H$5:$H12,"&lt;&gt;"))</f>
        <v>11</v>
      </c>
    </row>
    <row r="13" spans="1:14" x14ac:dyDescent="0.25">
      <c r="A13" s="43">
        <v>9</v>
      </c>
      <c r="B13" s="44" t="str">
        <f>IFERROR(INDEX($H$5:$H$104,MATCH(9,$N$5:$N$104,0)),"")</f>
        <v>Rachel Stewart</v>
      </c>
      <c r="C13" s="44" t="str">
        <f>IFERROR(INDEX($I$5:$I$104,MATCH(9,$N$5:$N$104,0)),"")</f>
        <v>Türkiye</v>
      </c>
      <c r="D13" s="43">
        <f>IFERROR(INDEX($J$5:$J$104,MATCH(9,$N$5:$N$104,0)),"")</f>
        <v>0</v>
      </c>
      <c r="E13" s="43">
        <f>IFERROR(INDEX($K$5:$K$104,MATCH(9,$N$5:$N$104,0)),"")</f>
        <v>0</v>
      </c>
      <c r="F13" s="43">
        <f>IFERROR(INDEX($L$5:$L$104,MATCH(9,$N$5:$N$104,0)),"")</f>
        <v>0</v>
      </c>
      <c r="H13" t="str">
        <f>IF(Allocation!B14="","",Allocation!B14)</f>
        <v>Andrew Collins</v>
      </c>
      <c r="I13" t="str">
        <f>IF(Allocation!C14="","",Allocation!C14)</f>
        <v>Senegal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12</v>
      </c>
    </row>
    <row r="14" spans="1:14" x14ac:dyDescent="0.25">
      <c r="A14" s="43">
        <v>10</v>
      </c>
      <c r="B14" s="44" t="str">
        <f>IFERROR(INDEX($H$5:$H$104,MATCH(10,$N$5:$N$104,0)),"")</f>
        <v>Chris Martinez</v>
      </c>
      <c r="C14" s="44" t="str">
        <f>IFERROR(INDEX($I$5:$I$104,MATCH(10,$N$5:$N$104,0)),"")</f>
        <v>Belgium</v>
      </c>
      <c r="D14" s="43">
        <f>IFERROR(INDEX($J$5:$J$104,MATCH(10,$N$5:$N$104,0)),"")</f>
        <v>0</v>
      </c>
      <c r="E14" s="43">
        <f>IFERROR(INDEX($K$5:$K$104,MATCH(10,$N$5:$N$104,0)),"")</f>
        <v>0</v>
      </c>
      <c r="F14" s="43">
        <f>IFERROR(INDEX($L$5:$L$104,MATCH(10,$N$5:$N$104,0)),"")</f>
        <v>0</v>
      </c>
      <c r="H14" t="str">
        <f>IF(Allocation!B15="","",Allocation!B15)</f>
        <v>Laura Bennett</v>
      </c>
      <c r="I14" t="str">
        <f>IF(Allocation!C15="","",Allocation!C15)</f>
        <v>Tunisia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0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0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13</v>
      </c>
    </row>
    <row r="15" spans="1:14" x14ac:dyDescent="0.25">
      <c r="A15" s="43">
        <v>11</v>
      </c>
      <c r="B15" s="44" t="str">
        <f>IFERROR(INDEX($H$5:$H$104,MATCH(11,$N$5:$N$104,0)),"")</f>
        <v>Jessica Park</v>
      </c>
      <c r="C15" s="44" t="str">
        <f>IFERROR(INDEX($I$5:$I$104,MATCH(11,$N$5:$N$104,0)),"")</f>
        <v>Sweden</v>
      </c>
      <c r="D15" s="43">
        <f>IFERROR(INDEX($J$5:$J$104,MATCH(11,$N$5:$N$104,0)),"")</f>
        <v>0</v>
      </c>
      <c r="E15" s="43">
        <f>IFERROR(INDEX($K$5:$K$104,MATCH(11,$N$5:$N$104,0)),"")</f>
        <v>0</v>
      </c>
      <c r="F15" s="43">
        <f>IFERROR(INDEX($L$5:$L$104,MATCH(11,$N$5:$N$104,0)),"")</f>
        <v>0</v>
      </c>
      <c r="H15" t="str">
        <f>IF(Allocation!B16="","",Allocation!B16)</f>
        <v>Tom Nguyen</v>
      </c>
      <c r="I15" t="str">
        <f>IF(Allocation!C16="","",Allocation!C16)</f>
        <v>Czechia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2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1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2</v>
      </c>
    </row>
    <row r="16" spans="1:14" x14ac:dyDescent="0.25">
      <c r="A16" s="43">
        <v>12</v>
      </c>
      <c r="B16" s="44" t="str">
        <f>IFERROR(INDEX($H$5:$H$104,MATCH(12,$N$5:$N$104,0)),"")</f>
        <v>Andrew Collins</v>
      </c>
      <c r="C16" s="44" t="str">
        <f>IFERROR(INDEX($I$5:$I$104,MATCH(12,$N$5:$N$104,0)),"")</f>
        <v>Senegal</v>
      </c>
      <c r="D16" s="43">
        <f>IFERROR(INDEX($J$5:$J$104,MATCH(12,$N$5:$N$104,0)),"")</f>
        <v>0</v>
      </c>
      <c r="E16" s="43">
        <f>IFERROR(INDEX($K$5:$K$104,MATCH(12,$N$5:$N$104,0)),"")</f>
        <v>0</v>
      </c>
      <c r="F16" s="43">
        <f>IFERROR(INDEX($L$5:$L$104,MATCH(12,$N$5:$N$104,0)),"")</f>
        <v>0</v>
      </c>
      <c r="H16" t="str">
        <f>IF(Allocation!B17="","",Allocation!B17)</f>
        <v>Sophie Williams</v>
      </c>
      <c r="I16" t="str">
        <f>IF(Allocation!C17="","",Allocation!C17)</f>
        <v>Spain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0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0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14</v>
      </c>
    </row>
    <row r="17" spans="1:14" x14ac:dyDescent="0.25">
      <c r="A17" s="43">
        <v>13</v>
      </c>
      <c r="B17" s="44" t="str">
        <f>IFERROR(INDEX($H$5:$H$104,MATCH(13,$N$5:$N$104,0)),"")</f>
        <v>Laura Bennett</v>
      </c>
      <c r="C17" s="44" t="str">
        <f>IFERROR(INDEX($I$5:$I$104,MATCH(13,$N$5:$N$104,0)),"")</f>
        <v>Tunisia</v>
      </c>
      <c r="D17" s="43">
        <f>IFERROR(INDEX($J$5:$J$104,MATCH(13,$N$5:$N$104,0)),"")</f>
        <v>0</v>
      </c>
      <c r="E17" s="43">
        <f>IFERROR(INDEX($K$5:$K$104,MATCH(13,$N$5:$N$104,0)),"")</f>
        <v>0</v>
      </c>
      <c r="F17" s="43">
        <f>IFERROR(INDEX($L$5:$L$104,MATCH(13,$N$5:$N$104,0)),"")</f>
        <v>0</v>
      </c>
      <c r="H17" t="str">
        <f>IF(Allocation!B18="","",Allocation!B18)</f>
        <v>Ryan O'Connor</v>
      </c>
      <c r="I17" t="str">
        <f>IF(Allocation!C18="","",Allocation!C18)</f>
        <v>Jordan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15</v>
      </c>
    </row>
    <row r="18" spans="1:14" x14ac:dyDescent="0.25">
      <c r="A18" s="43">
        <v>14</v>
      </c>
      <c r="B18" s="44" t="str">
        <f>IFERROR(INDEX($H$5:$H$104,MATCH(14,$N$5:$N$104,0)),"")</f>
        <v>Sophie Williams</v>
      </c>
      <c r="C18" s="44" t="str">
        <f>IFERROR(INDEX($I$5:$I$104,MATCH(14,$N$5:$N$104,0)),"")</f>
        <v>Spain</v>
      </c>
      <c r="D18" s="43">
        <f>IFERROR(INDEX($J$5:$J$104,MATCH(14,$N$5:$N$104,0)),"")</f>
        <v>0</v>
      </c>
      <c r="E18" s="43">
        <f>IFERROR(INDEX($K$5:$K$104,MATCH(14,$N$5:$N$104,0)),"")</f>
        <v>0</v>
      </c>
      <c r="F18" s="43">
        <f>IFERROR(INDEX($L$5:$L$104,MATCH(14,$N$5:$N$104,0)),"")</f>
        <v>0</v>
      </c>
      <c r="H18" t="str">
        <f>IF(Allocation!B19="","",Allocation!B19)</f>
        <v>Hannah Lee</v>
      </c>
      <c r="I18" t="str">
        <f>IF(Allocation!C19="","",Allocation!C19)</f>
        <v>Panama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0</v>
      </c>
      <c r="N18">
        <f>IF(H18="","",COUNTIFS($J$5:$J$104,"&gt;"&amp;J18,$H$5:$H$104,"&lt;&gt;")+COUNTIFS($J$5:$J18,J18,$H$5:$H18,"&lt;&gt;"))</f>
        <v>16</v>
      </c>
    </row>
    <row r="19" spans="1:14" x14ac:dyDescent="0.25">
      <c r="A19" s="43">
        <v>15</v>
      </c>
      <c r="B19" s="44" t="str">
        <f>IFERROR(INDEX($H$5:$H$104,MATCH(15,$N$5:$N$104,0)),"")</f>
        <v>Ryan O'Connor</v>
      </c>
      <c r="C19" s="44" t="str">
        <f>IFERROR(INDEX($I$5:$I$104,MATCH(15,$N$5:$N$104,0)),"")</f>
        <v>Jordan</v>
      </c>
      <c r="D19" s="43">
        <f>IFERROR(INDEX($J$5:$J$104,MATCH(15,$N$5:$N$104,0)),"")</f>
        <v>0</v>
      </c>
      <c r="E19" s="43">
        <f>IFERROR(INDEX($K$5:$K$104,MATCH(15,$N$5:$N$104,0)),"")</f>
        <v>0</v>
      </c>
      <c r="F19" s="43">
        <f>IFERROR(INDEX($L$5:$L$104,MATCH(15,$N$5:$N$104,0)),"")</f>
        <v>0</v>
      </c>
      <c r="H19" t="str">
        <f>IF(Allocation!B20="","",Allocation!B20)</f>
        <v>Mark Davidson</v>
      </c>
      <c r="I19" t="str">
        <f>IF(Allocation!C20="","",Allocation!C20)</f>
        <v>Japan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17</v>
      </c>
    </row>
    <row r="20" spans="1:14" x14ac:dyDescent="0.25">
      <c r="A20" s="43">
        <v>16</v>
      </c>
      <c r="B20" s="44" t="str">
        <f>IFERROR(INDEX($H$5:$H$104,MATCH(16,$N$5:$N$104,0)),"")</f>
        <v>Hannah Lee</v>
      </c>
      <c r="C20" s="44" t="str">
        <f>IFERROR(INDEX($I$5:$I$104,MATCH(16,$N$5:$N$104,0)),"")</f>
        <v>Panama</v>
      </c>
      <c r="D20" s="43">
        <f>IFERROR(INDEX($J$5:$J$104,MATCH(16,$N$5:$N$104,0)),"")</f>
        <v>0</v>
      </c>
      <c r="E20" s="43">
        <f>IFERROR(INDEX($K$5:$K$104,MATCH(16,$N$5:$N$104,0)),"")</f>
        <v>0</v>
      </c>
      <c r="F20" s="43">
        <f>IFERROR(INDEX($L$5:$L$104,MATCH(16,$N$5:$N$104,0)),"")</f>
        <v>0</v>
      </c>
      <c r="H20" t="str">
        <f>IF(Allocation!B21="","",Allocation!B21)</f>
        <v>Priya Sharma</v>
      </c>
      <c r="I20" t="str">
        <f>IF(Allocation!C21="","",Allocation!C21)</f>
        <v>Iran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18</v>
      </c>
    </row>
    <row r="21" spans="1:14" x14ac:dyDescent="0.25">
      <c r="A21" s="43">
        <v>17</v>
      </c>
      <c r="B21" s="44" t="str">
        <f>IFERROR(INDEX($H$5:$H$104,MATCH(17,$N$5:$N$104,0)),"")</f>
        <v>Mark Davidson</v>
      </c>
      <c r="C21" s="44" t="str">
        <f>IFERROR(INDEX($I$5:$I$104,MATCH(17,$N$5:$N$104,0)),"")</f>
        <v>Japan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Luke Anderson</v>
      </c>
      <c r="I21" t="str">
        <f>IF(Allocation!C22="","",Allocation!C22)</f>
        <v>Ecuador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0</v>
      </c>
      <c r="K21">
        <f>IF(I21="","",COUNTIFS(Fixtures!D$5:D$76,I21,Fixtures!J$5:J$76,"W")+COUNTIFS(Fixtures!G$5:G$76,I21,Fixtures!K$5:K$76,"W"))</f>
        <v>0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0</v>
      </c>
      <c r="N21">
        <f>IF(H21="","",COUNTIFS($J$5:$J$104,"&gt;"&amp;J21,$H$5:$H$104,"&lt;&gt;")+COUNTIFS($J$5:$J21,J21,$H$5:$H21,"&lt;&gt;"))</f>
        <v>19</v>
      </c>
    </row>
    <row r="22" spans="1:14" x14ac:dyDescent="0.25">
      <c r="A22" s="43">
        <v>18</v>
      </c>
      <c r="B22" s="44" t="str">
        <f>IFERROR(INDEX($H$5:$H$104,MATCH(18,$N$5:$N$104,0)),"")</f>
        <v>Priya Sharma</v>
      </c>
      <c r="C22" s="44" t="str">
        <f>IFERROR(INDEX($I$5:$I$104,MATCH(18,$N$5:$N$104,0)),"")</f>
        <v>Iran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Megan Taylor</v>
      </c>
      <c r="I22" t="str">
        <f>IF(Allocation!C23="","",Allocation!C23)</f>
        <v>Cape Verde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20</v>
      </c>
    </row>
    <row r="23" spans="1:14" x14ac:dyDescent="0.25">
      <c r="A23" s="43">
        <v>19</v>
      </c>
      <c r="B23" s="44" t="str">
        <f>IFERROR(INDEX($H$5:$H$104,MATCH(19,$N$5:$N$104,0)),"")</f>
        <v>Luke Anderson</v>
      </c>
      <c r="C23" s="44" t="str">
        <f>IFERROR(INDEX($I$5:$I$104,MATCH(19,$N$5:$N$104,0)),"")</f>
        <v>Ecuador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Daniel Brown</v>
      </c>
      <c r="I23" t="str">
        <f>IF(Allocation!C24="","",Allocation!C24)</f>
        <v>Algeria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21</v>
      </c>
    </row>
    <row r="24" spans="1:14" x14ac:dyDescent="0.25">
      <c r="A24" s="43">
        <v>20</v>
      </c>
      <c r="B24" s="44" t="str">
        <f>IFERROR(INDEX($H$5:$H$104,MATCH(20,$N$5:$N$104,0)),"")</f>
        <v>Megan Taylor</v>
      </c>
      <c r="C24" s="44" t="str">
        <f>IFERROR(INDEX($I$5:$I$104,MATCH(20,$N$5:$N$104,0)),"")</f>
        <v>Cape Verde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Olivia White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1</v>
      </c>
      <c r="N24">
        <f>IF(H24="","",COUNTIFS($J$5:$J$104,"&gt;"&amp;J24,$H$5:$H$104,"&lt;&gt;")+COUNTIFS($J$5:$J24,J24,$H$5:$H24,"&lt;&gt;"))</f>
        <v>1</v>
      </c>
    </row>
    <row r="25" spans="1:14" x14ac:dyDescent="0.25">
      <c r="A25" s="43">
        <v>21</v>
      </c>
      <c r="B25" s="44" t="str">
        <f>IFERROR(INDEX($H$5:$H$104,MATCH(21,$N$5:$N$104,0)),"")</f>
        <v>Daniel Brown</v>
      </c>
      <c r="C25" s="44" t="str">
        <f>IFERROR(INDEX($I$5:$I$104,MATCH(21,$N$5:$N$104,0)),"")</f>
        <v>Algeria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Nathan Scott</v>
      </c>
      <c r="I25" t="str">
        <f>IF(Allocation!C26="","",Allocation!C26)</f>
        <v>Bosnia and Herzegovina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22</v>
      </c>
    </row>
    <row r="26" spans="1:14" x14ac:dyDescent="0.25">
      <c r="A26" s="43">
        <v>22</v>
      </c>
      <c r="B26" s="44" t="str">
        <f>IFERROR(INDEX($H$5:$H$104,MATCH(22,$N$5:$N$104,0)),"")</f>
        <v>Nathan Scott</v>
      </c>
      <c r="C26" s="44" t="str">
        <f>IFERROR(INDEX($I$5:$I$104,MATCH(22,$N$5:$N$104,0)),"")</f>
        <v>Bosnia and Herzegovina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Amy Richardson</v>
      </c>
      <c r="I26" t="str">
        <f>IF(Allocation!C27="","",Allocation!C27)</f>
        <v>Saudi Arabia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0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0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23</v>
      </c>
    </row>
    <row r="27" spans="1:14" x14ac:dyDescent="0.25">
      <c r="A27" s="43">
        <v>23</v>
      </c>
      <c r="B27" s="44" t="str">
        <f>IFERROR(INDEX($H$5:$H$104,MATCH(23,$N$5:$N$104,0)),"")</f>
        <v>Amy Richardson</v>
      </c>
      <c r="C27" s="44" t="str">
        <f>IFERROR(INDEX($I$5:$I$104,MATCH(23,$N$5:$N$104,0)),"")</f>
        <v>Saudi Arabia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Ben Harper</v>
      </c>
      <c r="I27" t="str">
        <f>IF(Allocation!C28="","",Allocation!C28)</f>
        <v>Iraq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0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0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24</v>
      </c>
    </row>
    <row r="28" spans="1:14" x14ac:dyDescent="0.25">
      <c r="A28" s="43">
        <v>24</v>
      </c>
      <c r="B28" s="44" t="str">
        <f>IFERROR(INDEX($H$5:$H$104,MATCH(24,$N$5:$N$104,0)),"")</f>
        <v>Ben Harper</v>
      </c>
      <c r="C28" s="44" t="str">
        <f>IFERROR(INDEX($I$5:$I$104,MATCH(24,$N$5:$N$104,0)),"")</f>
        <v>Iraq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Chloe Morgan</v>
      </c>
      <c r="I28" t="str">
        <f>IF(Allocation!C29="","",Allocation!C29)</f>
        <v>Netherlands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25</v>
      </c>
    </row>
    <row r="29" spans="1:14" x14ac:dyDescent="0.25">
      <c r="A29" s="43">
        <v>25</v>
      </c>
      <c r="B29" s="44" t="str">
        <f>IFERROR(INDEX($H$5:$H$104,MATCH(25,$N$5:$N$104,0)),"")</f>
        <v>Chloe Morgan</v>
      </c>
      <c r="C29" s="44" t="str">
        <f>IFERROR(INDEX($I$5:$I$104,MATCH(25,$N$5:$N$104,0)),"")</f>
        <v>Netherlands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Sam Mitchell</v>
      </c>
      <c r="I29" t="str">
        <f>IF(Allocation!C30="","",Allocation!C30)</f>
        <v>Curaçao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26</v>
      </c>
    </row>
    <row r="30" spans="1:14" x14ac:dyDescent="0.25">
      <c r="A30" s="43">
        <v>26</v>
      </c>
      <c r="B30" s="44" t="str">
        <f>IFERROR(INDEX($H$5:$H$104,MATCH(26,$N$5:$N$104,0)),"")</f>
        <v>Sam Mitchell</v>
      </c>
      <c r="C30" s="44" t="str">
        <f>IFERROR(INDEX($I$5:$I$104,MATCH(26,$N$5:$N$104,0)),"")</f>
        <v>Curaçao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Emily Zhang</v>
      </c>
      <c r="I30" t="str">
        <f>IF(Allocation!C31="","",Allocation!C31)</f>
        <v>Paraguay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0</v>
      </c>
      <c r="K30">
        <f>IF(I30="","",COUNTIFS(Fixtures!D$5:D$76,I30,Fixtures!J$5:J$76,"W")+COUNTIFS(Fixtures!G$5:G$76,I30,Fixtures!K$5:K$76,"W"))</f>
        <v>0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0</v>
      </c>
      <c r="N30">
        <f>IF(H30="","",COUNTIFS($J$5:$J$104,"&gt;"&amp;J30,$H$5:$H$104,"&lt;&gt;")+COUNTIFS($J$5:$J30,J30,$H$5:$H30,"&lt;&gt;"))</f>
        <v>27</v>
      </c>
    </row>
    <row r="31" spans="1:14" x14ac:dyDescent="0.25">
      <c r="A31" s="43">
        <v>27</v>
      </c>
      <c r="B31" s="44" t="str">
        <f>IFERROR(INDEX($H$5:$H$104,MATCH(27,$N$5:$N$104,0)),"")</f>
        <v>Emily Zhang</v>
      </c>
      <c r="C31" s="44" t="str">
        <f>IFERROR(INDEX($I$5:$I$104,MATCH(27,$N$5:$N$104,0)),"")</f>
        <v>Paraguay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Jake Turner</v>
      </c>
      <c r="I31" t="str">
        <f>IF(Allocation!C32="","",Allocation!C32)</f>
        <v>Morocco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0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0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28</v>
      </c>
    </row>
    <row r="32" spans="1:14" x14ac:dyDescent="0.25">
      <c r="A32" s="43">
        <v>28</v>
      </c>
      <c r="B32" s="44" t="str">
        <f>IFERROR(INDEX($H$5:$H$104,MATCH(28,$N$5:$N$104,0)),"")</f>
        <v>Jake Turner</v>
      </c>
      <c r="C32" s="44" t="str">
        <f>IFERROR(INDEX($I$5:$I$104,MATCH(28,$N$5:$N$104,0)),"")</f>
        <v>Morocco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Fiona Campbell</v>
      </c>
      <c r="I32" t="str">
        <f>IF(Allocation!C33="","",Allocation!C33)</f>
        <v>Colombia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29</v>
      </c>
    </row>
    <row r="33" spans="1:14" x14ac:dyDescent="0.25">
      <c r="A33" s="43">
        <v>29</v>
      </c>
      <c r="B33" s="44" t="str">
        <f>IFERROR(INDEX($H$5:$H$104,MATCH(29,$N$5:$N$104,0)),"")</f>
        <v>Fiona Campbell</v>
      </c>
      <c r="C33" s="44" t="str">
        <f>IFERROR(INDEX($I$5:$I$104,MATCH(29,$N$5:$N$104,0)),"")</f>
        <v>Colombia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Alex Patel</v>
      </c>
      <c r="I33" t="str">
        <f>IF(Allocation!C34="","",Allocation!C34)</f>
        <v>England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0</v>
      </c>
      <c r="N33">
        <f>IF(H33="","",COUNTIFS($J$5:$J$104,"&gt;"&amp;J33,$H$5:$H$104,"&lt;&gt;")+COUNTIFS($J$5:$J33,J33,$H$5:$H33,"&lt;&gt;"))</f>
        <v>30</v>
      </c>
    </row>
    <row r="34" spans="1:14" x14ac:dyDescent="0.25">
      <c r="A34" s="43">
        <v>30</v>
      </c>
      <c r="B34" s="44" t="str">
        <f>IFERROR(INDEX($H$5:$H$104,MATCH(30,$N$5:$N$104,0)),"")</f>
        <v>Alex Patel</v>
      </c>
      <c r="C34" s="44" t="str">
        <f>IFERROR(INDEX($I$5:$I$104,MATCH(30,$N$5:$N$104,0)),"")</f>
        <v>England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Grace Murphy</v>
      </c>
      <c r="I34" t="str">
        <f>IF(Allocation!C35="","",Allocation!C35)</f>
        <v>France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31</v>
      </c>
    </row>
    <row r="35" spans="1:14" x14ac:dyDescent="0.25">
      <c r="A35" s="43">
        <v>31</v>
      </c>
      <c r="B35" s="44" t="str">
        <f>IFERROR(INDEX($H$5:$H$104,MATCH(31,$N$5:$N$104,0)),"")</f>
        <v>Grace Murphy</v>
      </c>
      <c r="C35" s="44" t="str">
        <f>IFERROR(INDEX($I$5:$I$104,MATCH(31,$N$5:$N$104,0)),"")</f>
        <v>France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Owen Phillips</v>
      </c>
      <c r="I35" t="str">
        <f>IF(Allocation!C36="","",Allocation!C36)</f>
        <v>Austria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32</v>
      </c>
    </row>
    <row r="36" spans="1:14" x14ac:dyDescent="0.25">
      <c r="A36" s="43">
        <v>32</v>
      </c>
      <c r="B36" s="44" t="str">
        <f>IFERROR(INDEX($H$5:$H$104,MATCH(32,$N$5:$N$104,0)),"")</f>
        <v>Owen Phillips</v>
      </c>
      <c r="C36" s="44" t="str">
        <f>IFERROR(INDEX($I$5:$I$104,MATCH(32,$N$5:$N$104,0)),"")</f>
        <v>Austria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Zoe Carter</v>
      </c>
      <c r="I36" t="str">
        <f>IF(Allocation!C37="","",Allocation!C37)</f>
        <v>South Korea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2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1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</v>
      </c>
    </row>
    <row r="37" spans="1:14" x14ac:dyDescent="0.25">
      <c r="A37" s="43">
        <v>33</v>
      </c>
      <c r="B37" s="44" t="str">
        <f>IFERROR(INDEX($H$5:$H$104,MATCH(33,$N$5:$N$104,0)),"")</f>
        <v>Liam Hughes</v>
      </c>
      <c r="C37" s="44" t="str">
        <f>IFERROR(INDEX($I$5:$I$104,MATCH(33,$N$5:$N$104,0)),"")</f>
        <v>Croatia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Liam Hughes</v>
      </c>
      <c r="I37" t="str">
        <f>IF(Allocation!C38="","",Allocation!C38)</f>
        <v>Croatia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33</v>
      </c>
    </row>
    <row r="38" spans="1:14" x14ac:dyDescent="0.25">
      <c r="A38" s="43">
        <v>34</v>
      </c>
      <c r="B38" s="44" t="str">
        <f>IFERROR(INDEX($H$5:$H$104,MATCH(34,$N$5:$N$104,0)),"")</f>
        <v>Isabella Ross</v>
      </c>
      <c r="C38" s="44" t="str">
        <f>IFERROR(INDEX($I$5:$I$104,MATCH(34,$N$5:$N$104,0)),"")</f>
        <v>Norway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Isabella Ross</v>
      </c>
      <c r="I38" t="str">
        <f>IF(Allocation!C39="","",Allocation!C39)</f>
        <v>Norway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0</v>
      </c>
      <c r="N38">
        <f>IF(H38="","",COUNTIFS($J$5:$J$104,"&gt;"&amp;J38,$H$5:$H$104,"&lt;&gt;")+COUNTIFS($J$5:$J38,J38,$H$5:$H38,"&lt;&gt;"))</f>
        <v>34</v>
      </c>
    </row>
    <row r="39" spans="1:14" x14ac:dyDescent="0.25">
      <c r="A39" s="43">
        <v>35</v>
      </c>
      <c r="B39" s="44" t="str">
        <f>IFERROR(INDEX($H$5:$H$104,MATCH(35,$N$5:$N$104,0)),"")</f>
        <v>Ethan Wright</v>
      </c>
      <c r="C39" s="44" t="str">
        <f>IFERROR(INDEX($I$5:$I$104,MATCH(35,$N$5:$N$104,0)),"")</f>
        <v>South Africa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Ethan Wright</v>
      </c>
      <c r="I39" t="str">
        <f>IF(Allocation!C40="","",Allocation!C40)</f>
        <v>South Africa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0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0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-1</v>
      </c>
      <c r="N39">
        <f>IF(H39="","",COUNTIFS($J$5:$J$104,"&gt;"&amp;J39,$H$5:$H$104,"&lt;&gt;")+COUNTIFS($J$5:$J39,J39,$H$5:$H39,"&lt;&gt;"))</f>
        <v>35</v>
      </c>
    </row>
    <row r="40" spans="1:14" x14ac:dyDescent="0.25">
      <c r="A40" s="43">
        <v>36</v>
      </c>
      <c r="B40" s="44" t="str">
        <f>IFERROR(INDEX($H$5:$H$104,MATCH(36,$N$5:$N$104,0)),"")</f>
        <v>Charlotte King</v>
      </c>
      <c r="C40" s="44" t="str">
        <f>IFERROR(INDEX($I$5:$I$104,MATCH(36,$N$5:$N$104,0)),"")</f>
        <v>New Zealand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Charlotte King</v>
      </c>
      <c r="I40" t="str">
        <f>IF(Allocation!C41="","",Allocation!C41)</f>
        <v>New Zealand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0</v>
      </c>
      <c r="N40">
        <f>IF(H40="","",COUNTIFS($J$5:$J$104,"&gt;"&amp;J40,$H$5:$H$104,"&lt;&gt;")+COUNTIFS($J$5:$J40,J40,$H$5:$H40,"&lt;&gt;"))</f>
        <v>36</v>
      </c>
    </row>
    <row r="41" spans="1:14" x14ac:dyDescent="0.25">
      <c r="A41" s="43">
        <v>37</v>
      </c>
      <c r="B41" s="44" t="str">
        <f>IFERROR(INDEX($H$5:$H$104,MATCH(37,$N$5:$N$104,0)),"")</f>
        <v>Josh Evans</v>
      </c>
      <c r="C41" s="44" t="str">
        <f>IFERROR(INDEX($I$5:$I$104,MATCH(37,$N$5:$N$104,0)),"")</f>
        <v>Egypt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Josh Evans</v>
      </c>
      <c r="I41" t="str">
        <f>IF(Allocation!C42="","",Allocation!C42)</f>
        <v>Egypt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37</v>
      </c>
    </row>
    <row r="42" spans="1:14" x14ac:dyDescent="0.25">
      <c r="A42" s="43">
        <v>38</v>
      </c>
      <c r="B42" s="44" t="str">
        <f>IFERROR(INDEX($H$5:$H$104,MATCH(38,$N$5:$N$104,0)),"")</f>
        <v>Katie Adams</v>
      </c>
      <c r="C42" s="44" t="str">
        <f>IFERROR(INDEX($I$5:$I$104,MATCH(38,$N$5:$N$104,0)),"")</f>
        <v>Uzbekistan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Katie Adams</v>
      </c>
      <c r="I42" t="str">
        <f>IF(Allocation!C43="","",Allocation!C43)</f>
        <v>Uzbekistan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38</v>
      </c>
    </row>
    <row r="43" spans="1:14" x14ac:dyDescent="0.25">
      <c r="A43" s="43">
        <v>39</v>
      </c>
      <c r="B43" s="44" t="str">
        <f>IFERROR(INDEX($H$5:$H$104,MATCH(39,$N$5:$N$104,0)),"")</f>
        <v>Will Jackson</v>
      </c>
      <c r="C43" s="44" t="str">
        <f>IFERROR(INDEX($I$5:$I$104,MATCH(39,$N$5:$N$104,0)),"")</f>
        <v>United States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Will Jackson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0</v>
      </c>
      <c r="K43">
        <f>IF(I43="","",COUNTIFS(Fixtures!D$5:D$76,I43,Fixtures!J$5:J$76,"W")+COUNTIFS(Fixtures!G$5:G$76,I43,Fixtures!K$5:K$76,"W"))</f>
        <v>0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0</v>
      </c>
      <c r="N43">
        <f>IF(H43="","",COUNTIFS($J$5:$J$104,"&gt;"&amp;J43,$H$5:$H$104,"&lt;&gt;")+COUNTIFS($J$5:$J43,J43,$H$5:$H43,"&lt;&gt;"))</f>
        <v>39</v>
      </c>
    </row>
    <row r="44" spans="1:14" x14ac:dyDescent="0.25">
      <c r="A44" s="43">
        <v>40</v>
      </c>
      <c r="B44" s="44" t="str">
        <f>IFERROR(INDEX($H$5:$H$104,MATCH(40,$N$5:$N$104,0)),"")</f>
        <v>Natalie Green</v>
      </c>
      <c r="C44" s="44" t="str">
        <f>IFERROR(INDEX($I$5:$I$104,MATCH(40,$N$5:$N$104,0)),"")</f>
        <v>Haiti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Natalie Green</v>
      </c>
      <c r="I44" t="str">
        <f>IF(Allocation!C45="","",Allocation!C45)</f>
        <v>Haiti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0</v>
      </c>
      <c r="K44">
        <f>IF(I44="","",COUNTIFS(Fixtures!D$5:D$76,I44,Fixtures!J$5:J$76,"W")+COUNTIFS(Fixtures!G$5:G$76,I44,Fixtures!K$5:K$76,"W"))</f>
        <v>0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0</v>
      </c>
      <c r="N44">
        <f>IF(H44="","",COUNTIFS($J$5:$J$104,"&gt;"&amp;J44,$H$5:$H$104,"&lt;&gt;")+COUNTIFS($J$5:$J44,J44,$H$5:$H44,"&lt;&gt;"))</f>
        <v>40</v>
      </c>
    </row>
    <row r="45" spans="1:14" x14ac:dyDescent="0.25">
      <c r="A45" s="43">
        <v>41</v>
      </c>
      <c r="B45" s="44" t="str">
        <f>IFERROR(INDEX($H$5:$H$104,MATCH(41,$N$5:$N$104,0)),"")</f>
        <v>Harry Cooper</v>
      </c>
      <c r="C45" s="44" t="str">
        <f>IFERROR(INDEX($I$5:$I$104,MATCH(41,$N$5:$N$104,0)),"")</f>
        <v>Switzerland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Harry Cooper</v>
      </c>
      <c r="I45" t="str">
        <f>IF(Allocation!C46="","",Allocation!C46)</f>
        <v>Switzerland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41</v>
      </c>
    </row>
    <row r="46" spans="1:14" x14ac:dyDescent="0.25">
      <c r="A46" s="43">
        <v>42</v>
      </c>
      <c r="B46" s="44" t="str">
        <f>IFERROR(INDEX($H$5:$H$104,MATCH(42,$N$5:$N$104,0)),"")</f>
        <v>Rebecca Hall</v>
      </c>
      <c r="C46" s="44" t="str">
        <f>IFERROR(INDEX($I$5:$I$104,MATCH(42,$N$5:$N$104,0)),"")</f>
        <v>Australia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Rebecca Hall</v>
      </c>
      <c r="I46" t="str">
        <f>IF(Allocation!C47="","",Allocation!C47)</f>
        <v>Australia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42</v>
      </c>
    </row>
    <row r="47" spans="1:14" x14ac:dyDescent="0.25">
      <c r="A47" s="43">
        <v>43</v>
      </c>
      <c r="B47" s="44" t="str">
        <f>IFERROR(INDEX($H$5:$H$104,MATCH(43,$N$5:$N$104,0)),"")</f>
        <v>Finn O'Sullivan</v>
      </c>
      <c r="C47" s="44" t="str">
        <f>IFERROR(INDEX($I$5:$I$104,MATCH(43,$N$5:$N$104,0)),"")</f>
        <v>Germany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Finn O'Sullivan</v>
      </c>
      <c r="I47" t="str">
        <f>IF(Allocation!C48="","",Allocation!C48)</f>
        <v>Germany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0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0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43</v>
      </c>
    </row>
    <row r="48" spans="1:14" x14ac:dyDescent="0.25">
      <c r="A48" s="43">
        <v>44</v>
      </c>
      <c r="B48" s="44" t="str">
        <f>IFERROR(INDEX($H$5:$H$104,MATCH(44,$N$5:$N$104,0)),"")</f>
        <v>Ella Dixon</v>
      </c>
      <c r="C48" s="44" t="str">
        <f>IFERROR(INDEX($I$5:$I$104,MATCH(44,$N$5:$N$104,0)),"")</f>
        <v>Ivory Coast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Ella Dixon</v>
      </c>
      <c r="I48" t="str">
        <f>IF(Allocation!C49="","",Allocation!C49)</f>
        <v>Ivory Coast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25">
      <c r="A49" s="43">
        <v>45</v>
      </c>
      <c r="B49" s="44" t="str">
        <f>IFERROR(INDEX($H$5:$H$104,MATCH(45,$N$5:$N$104,0)),"")</f>
        <v>Patrick Ward</v>
      </c>
      <c r="C49" s="44" t="str">
        <f>IFERROR(INDEX($I$5:$I$104,MATCH(45,$N$5:$N$104,0)),"")</f>
        <v>Qatar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Patrick Ward</v>
      </c>
      <c r="I49" t="str">
        <f>IF(Allocation!C50="","",Allocation!C50)</f>
        <v>Qatar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25">
      <c r="A50" s="43">
        <v>46</v>
      </c>
      <c r="B50" s="44" t="str">
        <f>IFERROR(INDEX($H$5:$H$104,MATCH(46,$N$5:$N$104,0)),"")</f>
        <v>Amber Long</v>
      </c>
      <c r="C50" s="44" t="str">
        <f>IFERROR(INDEX($I$5:$I$104,MATCH(46,$N$5:$N$104,0)),"")</f>
        <v>Ghana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Amber Long</v>
      </c>
      <c r="I50" t="str">
        <f>IF(Allocation!C51="","",Allocation!C51)</f>
        <v>Ghana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0</v>
      </c>
      <c r="N50">
        <f>IF(H50="","",COUNTIFS($J$5:$J$104,"&gt;"&amp;J50,$H$5:$H$104,"&lt;&gt;")+COUNTIFS($J$5:$J50,J50,$H$5:$H50,"&lt;&gt;"))</f>
        <v>46</v>
      </c>
    </row>
    <row r="51" spans="1:14" x14ac:dyDescent="0.25">
      <c r="A51" s="43">
        <v>47</v>
      </c>
      <c r="B51" s="44" t="str">
        <f>IFERROR(INDEX($H$5:$H$104,MATCH(47,$N$5:$N$104,0)),"")</f>
        <v>Callum Fraser</v>
      </c>
      <c r="C51" s="44" t="str">
        <f>IFERROR(INDEX($I$5:$I$104,MATCH(47,$N$5:$N$104,0)),"")</f>
        <v>Canada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Callum Fraser</v>
      </c>
      <c r="I51" t="str">
        <f>IF(Allocation!C52="","",Allocation!C52)</f>
        <v>Canada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0</v>
      </c>
      <c r="N51">
        <f>IF(H51="","",COUNTIFS($J$5:$J$104,"&gt;"&amp;J51,$H$5:$H$104,"&lt;&gt;")+COUNTIFS($J$5:$J51,J51,$H$5:$H51,"&lt;&gt;"))</f>
        <v>47</v>
      </c>
    </row>
    <row r="52" spans="1:14" x14ac:dyDescent="0.25">
      <c r="A52" s="43">
        <v>48</v>
      </c>
      <c r="B52" s="44" t="str">
        <f>IFERROR(INDEX($H$5:$H$104,MATCH(48,$N$5:$N$104,0)),"")</f>
        <v>Molly Price</v>
      </c>
      <c r="C52" s="44" t="str">
        <f>IFERROR(INDEX($I$5:$I$104,MATCH(48,$N$5:$N$104,0)),"")</f>
        <v>Portugal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Molly Price</v>
      </c>
      <c r="I52" t="str">
        <f>IF(Allocation!C53="","",Allocation!C53)</f>
        <v>Portugal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25">
      <c r="A53" s="43">
        <v>49</v>
      </c>
      <c r="B53" s="44" t="str">
        <f>IFERROR(INDEX($H$5:$H$104,MATCH(49,$N$5:$N$104,0)),"")</f>
        <v>Declan Burke</v>
      </c>
      <c r="C53" s="44" t="str">
        <f>IFERROR(INDEX($I$5:$I$104,MATCH(49,$N$5:$N$104,0)),"")</f>
        <v>Bosnia and Herzegovina</v>
      </c>
      <c r="D53" s="43">
        <f>IFERROR(INDEX($J$5:$J$104,MATCH(49,$N$5:$N$104,0)),"")</f>
        <v>0</v>
      </c>
      <c r="E53" s="43">
        <f>IFERROR(INDEX($K$5:$K$104,MATCH(49,$N$5:$N$104,0)),"")</f>
        <v>0</v>
      </c>
      <c r="F53" s="43">
        <f>IFERROR(INDEX($L$5:$L$104,MATCH(49,$N$5:$N$104,0)),"")</f>
        <v>0</v>
      </c>
      <c r="H53" t="str">
        <f>IF(Allocation!B54="","",Allocation!B54)</f>
        <v>Declan Burke</v>
      </c>
      <c r="I53" t="str">
        <f>IF(Allocation!C54="","",Allocation!C54)</f>
        <v>Bosnia and Herzegovina</v>
      </c>
      <c r="J53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>0</v>
      </c>
      <c r="K53">
        <f>IF(I53="","",COUNTIFS(Fixtures!D$5:D$76,I53,Fixtures!J$5:J$76,"W")+COUNTIFS(Fixtures!G$5:G$76,I53,Fixtures!K$5:K$76,"W"))</f>
        <v>0</v>
      </c>
      <c r="L53">
        <f>IF(I53="","",COUNTIFS(Fixtures!D$5:D$76,I53,Fixtures!J$5:J$76,"D")+COUNTIFS(Fixtures!G$5:G$76,I53,Fixtures!K$5:K$76,"D"))</f>
        <v>0</v>
      </c>
      <c r="M53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>0</v>
      </c>
      <c r="N53">
        <f>IF(H53="","",COUNTIFS($J$5:$J$104,"&gt;"&amp;J53,$H$5:$H$104,"&lt;&gt;")+COUNTIFS($J$5:$J53,J53,$H$5:$H53,"&lt;&gt;"))</f>
        <v>49</v>
      </c>
    </row>
    <row r="54" spans="1:14" x14ac:dyDescent="0.25">
      <c r="A54" s="43">
        <v>50</v>
      </c>
      <c r="B54" s="44" t="str">
        <f>IFERROR(INDEX($H$5:$H$104,MATCH(50,$N$5:$N$104,0)),"")</f>
        <v>Sienna Cole</v>
      </c>
      <c r="C54" s="44" t="str">
        <f>IFERROR(INDEX($I$5:$I$104,MATCH(50,$N$5:$N$104,0)),"")</f>
        <v>Tunisia</v>
      </c>
      <c r="D54" s="43">
        <f>IFERROR(INDEX($J$5:$J$104,MATCH(50,$N$5:$N$104,0)),"")</f>
        <v>0</v>
      </c>
      <c r="E54" s="43">
        <f>IFERROR(INDEX($K$5:$K$104,MATCH(50,$N$5:$N$104,0)),"")</f>
        <v>0</v>
      </c>
      <c r="F54" s="43">
        <f>IFERROR(INDEX($L$5:$L$104,MATCH(50,$N$5:$N$104,0)),"")</f>
        <v>0</v>
      </c>
      <c r="H54" t="str">
        <f>IF(Allocation!B55="","",Allocation!B55)</f>
        <v>Sienna Cole</v>
      </c>
      <c r="I54" t="str">
        <f>IF(Allocation!C55="","",Allocation!C55)</f>
        <v>Tunisia</v>
      </c>
      <c r="J54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>0</v>
      </c>
      <c r="K54">
        <f>IF(I54="","",COUNTIFS(Fixtures!D$5:D$76,I54,Fixtures!J$5:J$76,"W")+COUNTIFS(Fixtures!G$5:G$76,I54,Fixtures!K$5:K$76,"W"))</f>
        <v>0</v>
      </c>
      <c r="L54">
        <f>IF(I54="","",COUNTIFS(Fixtures!D$5:D$76,I54,Fixtures!J$5:J$76,"D")+COUNTIFS(Fixtures!G$5:G$76,I54,Fixtures!K$5:K$76,"D"))</f>
        <v>0</v>
      </c>
      <c r="M54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>0</v>
      </c>
      <c r="N54">
        <f>IF(H54="","",COUNTIFS($J$5:$J$104,"&gt;"&amp;J54,$H$5:$H$104,"&lt;&gt;")+COUNTIFS($J$5:$J54,J54,$H$5:$H54,"&lt;&gt;"))</f>
        <v>50</v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workbookViewId="0">
      <selection activeCell="G12" sqref="G12"/>
    </sheetView>
  </sheetViews>
  <sheetFormatPr defaultRowHeight="15" x14ac:dyDescent="0.25"/>
  <cols>
    <col min="1" max="1" width="8" customWidth="1"/>
    <col min="2" max="2" width="25" customWidth="1"/>
    <col min="3" max="3" width="20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377</v>
      </c>
    </row>
    <row r="2" spans="1:23" x14ac:dyDescent="0.25">
      <c r="A2" s="16" t="s">
        <v>378</v>
      </c>
    </row>
    <row r="4" spans="1:23" x14ac:dyDescent="0.25">
      <c r="A4" s="2" t="s">
        <v>379</v>
      </c>
      <c r="D4" s="52" t="s">
        <v>380</v>
      </c>
      <c r="F4" s="2" t="s">
        <v>381</v>
      </c>
      <c r="K4" s="2" t="s">
        <v>382</v>
      </c>
    </row>
    <row r="5" spans="1:23" x14ac:dyDescent="0.25">
      <c r="A5" s="3" t="s">
        <v>383</v>
      </c>
      <c r="B5" s="3" t="s">
        <v>384</v>
      </c>
      <c r="C5" s="3" t="s">
        <v>59</v>
      </c>
      <c r="D5" s="3" t="s">
        <v>385</v>
      </c>
      <c r="F5" s="53" t="s">
        <v>371</v>
      </c>
      <c r="G5" s="53" t="s">
        <v>386</v>
      </c>
      <c r="H5" s="53" t="s">
        <v>59</v>
      </c>
      <c r="I5" s="53" t="s">
        <v>385</v>
      </c>
      <c r="K5" s="54" t="s">
        <v>371</v>
      </c>
      <c r="L5" s="54" t="s">
        <v>372</v>
      </c>
      <c r="M5" s="54" t="s">
        <v>387</v>
      </c>
      <c r="N5" s="54" t="s">
        <v>388</v>
      </c>
      <c r="P5" s="55" t="s">
        <v>386</v>
      </c>
      <c r="Q5" s="55" t="s">
        <v>59</v>
      </c>
      <c r="R5" s="55" t="s">
        <v>385</v>
      </c>
      <c r="S5" s="55" t="s">
        <v>371</v>
      </c>
      <c r="T5" s="55" t="s">
        <v>372</v>
      </c>
      <c r="U5" s="55" t="s">
        <v>389</v>
      </c>
      <c r="V5" s="55" t="s">
        <v>385</v>
      </c>
      <c r="W5" s="55" t="s">
        <v>371</v>
      </c>
    </row>
    <row r="6" spans="1:23" x14ac:dyDescent="0.25">
      <c r="A6" s="43">
        <v>1</v>
      </c>
      <c r="B6" s="56" t="s">
        <v>126</v>
      </c>
      <c r="C6" s="56" t="s">
        <v>61</v>
      </c>
      <c r="D6" s="43">
        <v>3</v>
      </c>
      <c r="F6" s="46">
        <v>1</v>
      </c>
      <c r="G6" s="47" t="str">
        <f>IFERROR(INDEX($P$6:$P$305,MATCH(1,$S$6:$S$305,0)),"")</f>
        <v>Kylian Mbappé</v>
      </c>
      <c r="H6" s="47" t="str">
        <f>IFERROR(INDEX($Q$6:$Q$305,MATCH(1,$S$6:$S$305,0)),"")</f>
        <v>Mexico</v>
      </c>
      <c r="I6" s="46">
        <f>IFERROR(INDEX($R$6:$R$305,MATCH(1,$S$6:$S$305,0)),"")</f>
        <v>3</v>
      </c>
      <c r="K6" s="46">
        <v>1</v>
      </c>
      <c r="L6" s="47" t="str">
        <f>IFERROR(INDEX($T$6:$T$105,MATCH(1,$W$6:$W$105,0)),"")</f>
        <v>James Wilson</v>
      </c>
      <c r="M6" s="47" t="str">
        <f>IFERROR(INDEX($U$6:$U$105,MATCH(1,$W$6:$W$105,0)),"")</f>
        <v>Kylian Mbappé</v>
      </c>
      <c r="N6" s="46">
        <f>IFERROR(INDEX($V$6:$V$105,MATCH(1,$W$6:$W$105,0)),"")</f>
        <v>3</v>
      </c>
      <c r="P6" t="str">
        <f>IF(OR(B6="",COUNTIF($B$6:$B6,B6)&gt;1),"",B6)</f>
        <v>Kylian Mbappé</v>
      </c>
      <c r="Q6" t="str">
        <f t="shared" ref="Q6:Q69" si="0">IF(P6="","",C6)</f>
        <v>Mexico</v>
      </c>
      <c r="R6">
        <f t="shared" ref="R6:R69" si="1">IF(P6="","",SUMIF($B$6:$B$305,B6,$D$6:$D$305))</f>
        <v>3</v>
      </c>
      <c r="S6">
        <f>IF(P6="","",COUNTIFS($R$6:$R$305,"&gt;"&amp;R6,$P$6:$P$305,"&lt;&gt;")+COUNTIFS($R$6:$R6,"="&amp;R6,$P$6:$P6,"&lt;&gt;"))</f>
        <v>1</v>
      </c>
      <c r="T6" t="str">
        <f>IF(Participants!B5="","",Participants!B5)</f>
        <v>James Wilson</v>
      </c>
      <c r="U6" t="str">
        <f>IF(Participants!C5="","",Participants!C5)</f>
        <v>Kylian Mbappé</v>
      </c>
      <c r="V6">
        <f t="shared" ref="V6:V37" si="2">IF(U6="","",IFERROR(SUMIF($B$6:$B$305,U6,$D$6:$D$305),0))</f>
        <v>3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224</v>
      </c>
      <c r="C7" s="56" t="s">
        <v>63</v>
      </c>
      <c r="D7" s="43">
        <v>2</v>
      </c>
      <c r="F7" s="48">
        <v>2</v>
      </c>
      <c r="G7" s="49" t="str">
        <f>IFERROR(INDEX($P$6:$P$305,MATCH(2,$S$6:$S$305,0)),"")</f>
        <v>Donyell Malen</v>
      </c>
      <c r="H7" s="49" t="str">
        <f>IFERROR(INDEX($Q$6:$Q$305,MATCH(2,$S$6:$S$305,0)),"")</f>
        <v>South Africa</v>
      </c>
      <c r="I7" s="48">
        <f>IFERROR(INDEX($R$6:$R$305,MATCH(2,$S$6:$S$305,0)),"")</f>
        <v>2</v>
      </c>
      <c r="K7" s="48">
        <v>2</v>
      </c>
      <c r="L7" s="49" t="str">
        <f>IFERROR(INDEX($T$6:$T$105,MATCH(2,$W$6:$W$105,0)),"")</f>
        <v>Michael O'Brien</v>
      </c>
      <c r="M7" s="49" t="str">
        <f>IFERROR(INDEX($U$6:$U$105,MATCH(2,$W$6:$W$105,0)),"")</f>
        <v>Erling Haaland</v>
      </c>
      <c r="N7" s="48">
        <f>IFERROR(INDEX($V$6:$V$105,MATCH(2,$W$6:$W$105,0)),"")</f>
        <v>2</v>
      </c>
      <c r="P7" t="str">
        <f>IF(OR(B7="",COUNTIF($B$6:$B7,B7)&gt;1),"",B7)</f>
        <v>Donyell Malen</v>
      </c>
      <c r="Q7" t="str">
        <f t="shared" si="0"/>
        <v>South Africa</v>
      </c>
      <c r="R7">
        <f t="shared" si="1"/>
        <v>2</v>
      </c>
      <c r="S7">
        <f>IF(P7="","",COUNTIFS($R$6:$R$305,"&gt;"&amp;R7,$P$6:$P$305,"&lt;&gt;")+COUNTIFS($R$6:$R7,"="&amp;R7,$P$6:$P7,"&lt;&gt;"))</f>
        <v>2</v>
      </c>
      <c r="T7" t="str">
        <f>IF(Participants!B6="","",Participants!B6)</f>
        <v>Sarah Chen</v>
      </c>
      <c r="U7" t="str">
        <f>IF(Participants!C6="","",Participants!C6)</f>
        <v>Lionel Messi</v>
      </c>
      <c r="V7">
        <f t="shared" si="2"/>
        <v>0</v>
      </c>
      <c r="W7">
        <f>IF(T7="","",COUNTIFS($V$6:$V$105,"&gt;"&amp;V7,$T$6:$T$105,"&lt;&gt;")+COUNTIFS($V$6:$V7,"="&amp;V7,$T$6:$T7,"&lt;&gt;"))</f>
        <v>4</v>
      </c>
    </row>
    <row r="8" spans="1:23" x14ac:dyDescent="0.25">
      <c r="A8" s="43">
        <v>2</v>
      </c>
      <c r="B8" s="56" t="s">
        <v>130</v>
      </c>
      <c r="C8" s="56" t="s">
        <v>64</v>
      </c>
      <c r="D8" s="43">
        <v>2</v>
      </c>
      <c r="F8" s="50">
        <v>3</v>
      </c>
      <c r="G8" s="51" t="str">
        <f>IFERROR(INDEX($P$6:$P$305,MATCH(3,$S$6:$S$305,0)),"")</f>
        <v>Erling Haaland</v>
      </c>
      <c r="H8" s="51" t="str">
        <f>IFERROR(INDEX($Q$6:$Q$305,MATCH(3,$S$6:$S$305,0)),"")</f>
        <v>South Korea</v>
      </c>
      <c r="I8" s="50">
        <f>IFERROR(INDEX($R$6:$R$305,MATCH(3,$S$6:$S$305,0)),"")</f>
        <v>2</v>
      </c>
      <c r="K8" s="50">
        <v>3</v>
      </c>
      <c r="L8" s="51" t="str">
        <f>IFERROR(INDEX($T$6:$T$105,MATCH(3,$W$6:$W$105,0)),"")</f>
        <v>Sienna Cole</v>
      </c>
      <c r="M8" s="51" t="str">
        <f>IFERROR(INDEX($U$6:$U$105,MATCH(3,$W$6:$W$105,0)),"")</f>
        <v>Donyell Malen</v>
      </c>
      <c r="N8" s="50">
        <f>IFERROR(INDEX($V$6:$V$105,MATCH(3,$W$6:$W$105,0)),"")</f>
        <v>2</v>
      </c>
      <c r="P8" t="str">
        <f>IF(OR(B8="",COUNTIF($B$6:$B8,B8)&gt;1),"",B8)</f>
        <v>Erling Haaland</v>
      </c>
      <c r="Q8" t="str">
        <f t="shared" si="0"/>
        <v>South Korea</v>
      </c>
      <c r="R8">
        <f t="shared" si="1"/>
        <v>2</v>
      </c>
      <c r="S8">
        <f>IF(P8="","",COUNTIFS($R$6:$R$305,"&gt;"&amp;R8,$P$6:$P$305,"&lt;&gt;")+COUNTIFS($R$6:$R8,"="&amp;R8,$P$6:$P8,"&lt;&gt;"))</f>
        <v>3</v>
      </c>
      <c r="T8" t="str">
        <f>IF(Participants!B7="","",Participants!B7)</f>
        <v>Michael O'Brien</v>
      </c>
      <c r="U8" t="str">
        <f>IF(Participants!C7="","",Participants!C7)</f>
        <v>Erling Haaland</v>
      </c>
      <c r="V8">
        <f t="shared" si="2"/>
        <v>2</v>
      </c>
      <c r="W8">
        <f>IF(T8="","",COUNTIFS($V$6:$V$105,"&gt;"&amp;V8,$T$6:$T$105,"&lt;&gt;")+COUNTIFS($V$6:$V8,"="&amp;V8,$T$6:$T8,"&lt;&gt;"))</f>
        <v>2</v>
      </c>
    </row>
    <row r="9" spans="1:23" x14ac:dyDescent="0.25">
      <c r="A9" s="43"/>
      <c r="B9" s="56"/>
      <c r="C9" s="56"/>
      <c r="D9" s="43"/>
      <c r="F9" s="43">
        <v>4</v>
      </c>
      <c r="G9" s="44" t="str">
        <f>IFERROR(INDEX($P$6:$P$305,MATCH(4,$S$6:$S$305,0)),"")</f>
        <v/>
      </c>
      <c r="H9" s="44" t="str">
        <f>IFERROR(INDEX($Q$6:$Q$305,MATCH(4,$S$6:$S$305,0)),"")</f>
        <v/>
      </c>
      <c r="I9" s="43" t="str">
        <f>IFERROR(INDEX($R$6:$R$305,MATCH(4,$S$6:$S$305,0)),"")</f>
        <v/>
      </c>
      <c r="K9" s="43">
        <v>4</v>
      </c>
      <c r="L9" s="44" t="str">
        <f>IFERROR(INDEX($T$6:$T$105,MATCH(4,$W$6:$W$105,0)),"")</f>
        <v>Sarah Chen</v>
      </c>
      <c r="M9" s="44" t="str">
        <f>IFERROR(INDEX($U$6:$U$105,MATCH(4,$W$6:$W$105,0)),"")</f>
        <v>Lionel Messi</v>
      </c>
      <c r="N9" s="43">
        <f>IFERROR(INDEX($V$6:$V$105,MATCH(4,$W$6:$W$105,0)),"")</f>
        <v>0</v>
      </c>
      <c r="P9" t="str">
        <f>IF(OR(B9="",COUNTIF($B$6:$B9,B9)&gt;1),"",B9)</f>
        <v/>
      </c>
      <c r="Q9" t="str">
        <f t="shared" si="0"/>
        <v/>
      </c>
      <c r="R9" t="str">
        <f t="shared" si="1"/>
        <v/>
      </c>
      <c r="S9" t="str">
        <f>IF(P9="","",COUNTIFS($R$6:$R$305,"&gt;"&amp;R9,$P$6:$P$305,"&lt;&gt;")+COUNTIFS($R$6:$R9,"="&amp;R9,$P$6:$P9,"&lt;&gt;"))</f>
        <v/>
      </c>
      <c r="T9" t="str">
        <f>IF(Participants!B8="","",Participants!B8)</f>
        <v>Emma Thompson</v>
      </c>
      <c r="U9" t="str">
        <f>IF(Participants!C8="","",Participants!C8)</f>
        <v>Vinícius Júnior</v>
      </c>
      <c r="V9">
        <f t="shared" si="2"/>
        <v>0</v>
      </c>
      <c r="W9">
        <f>IF(T9="","",COUNTIFS($V$6:$V$105,"&gt;"&amp;V9,$T$6:$T$105,"&lt;&gt;")+COUNTIFS($V$6:$V9,"="&amp;V9,$T$6:$T9,"&lt;&gt;"))</f>
        <v>5</v>
      </c>
    </row>
    <row r="10" spans="1:23" x14ac:dyDescent="0.25">
      <c r="A10" s="43"/>
      <c r="B10" s="56"/>
      <c r="C10" s="56"/>
      <c r="D10" s="43"/>
      <c r="F10" s="43">
        <v>5</v>
      </c>
      <c r="G10" s="44" t="str">
        <f>IFERROR(INDEX($P$6:$P$305,MATCH(5,$S$6:$S$305,0)),"")</f>
        <v/>
      </c>
      <c r="H10" s="44" t="str">
        <f>IFERROR(INDEX($Q$6:$Q$305,MATCH(5,$S$6:$S$305,0)),"")</f>
        <v/>
      </c>
      <c r="I10" s="43" t="str">
        <f>IFERROR(INDEX($R$6:$R$305,MATCH(5,$S$6:$S$305,0)),"")</f>
        <v/>
      </c>
      <c r="K10" s="43">
        <v>5</v>
      </c>
      <c r="L10" s="44" t="str">
        <f>IFERROR(INDEX($T$6:$T$105,MATCH(5,$W$6:$W$105,0)),"")</f>
        <v>Emma Thompson</v>
      </c>
      <c r="M10" s="44" t="str">
        <f>IFERROR(INDEX($U$6:$U$105,MATCH(5,$W$6:$W$105,0)),"")</f>
        <v>Vinícius Júnior</v>
      </c>
      <c r="N10" s="43">
        <f>IFERROR(INDEX($V$6:$V$105,MATCH(5,$W$6:$W$105,0)),"")</f>
        <v>0</v>
      </c>
      <c r="P10" t="str">
        <f>IF(OR(B10="",COUNTIF($B$6:$B10,B10)&gt;1),"",B10)</f>
        <v/>
      </c>
      <c r="Q10" t="str">
        <f t="shared" si="0"/>
        <v/>
      </c>
      <c r="R10" t="str">
        <f t="shared" si="1"/>
        <v/>
      </c>
      <c r="S10" t="str">
        <f>IF(P10="","",COUNTIFS($R$6:$R$305,"&gt;"&amp;R10,$P$6:$P$305,"&lt;&gt;")+COUNTIFS($R$6:$R10,"="&amp;R10,$P$6:$P10,"&lt;&gt;"))</f>
        <v/>
      </c>
      <c r="T10" t="str">
        <f>IF(Participants!B9="","",Participants!B9)</f>
        <v>David Kumar</v>
      </c>
      <c r="U10" t="str">
        <f>IF(Participants!C9="","",Participants!C9)</f>
        <v>Harry Kane</v>
      </c>
      <c r="V10">
        <f t="shared" si="2"/>
        <v>0</v>
      </c>
      <c r="W10">
        <f>IF(T10="","",COUNTIFS($V$6:$V$105,"&gt;"&amp;V10,$T$6:$T$105,"&lt;&gt;")+COUNTIFS($V$6:$V10,"="&amp;V10,$T$6:$T10,"&lt;&gt;"))</f>
        <v>6</v>
      </c>
    </row>
    <row r="11" spans="1:23" x14ac:dyDescent="0.25">
      <c r="A11" s="43"/>
      <c r="B11" s="56"/>
      <c r="C11" s="56"/>
      <c r="D11" s="43"/>
      <c r="F11" s="43">
        <v>6</v>
      </c>
      <c r="G11" s="44" t="str">
        <f>IFERROR(INDEX($P$6:$P$305,MATCH(6,$S$6:$S$305,0)),"")</f>
        <v/>
      </c>
      <c r="H11" s="44" t="str">
        <f>IFERROR(INDEX($Q$6:$Q$305,MATCH(6,$S$6:$S$305,0)),"")</f>
        <v/>
      </c>
      <c r="I11" s="43" t="str">
        <f>IFERROR(INDEX($R$6:$R$305,MATCH(6,$S$6:$S$305,0)),"")</f>
        <v/>
      </c>
      <c r="K11" s="43">
        <v>6</v>
      </c>
      <c r="L11" s="44" t="str">
        <f>IFERROR(INDEX($T$6:$T$105,MATCH(6,$W$6:$W$105,0)),"")</f>
        <v>David Kumar</v>
      </c>
      <c r="M11" s="44" t="str">
        <f>IFERROR(INDEX($U$6:$U$105,MATCH(6,$W$6:$W$105,0)),"")</f>
        <v>Harry Kane</v>
      </c>
      <c r="N11" s="43">
        <f>IFERROR(INDEX($V$6:$V$105,MATCH(6,$W$6:$W$105,0)),"")</f>
        <v>0</v>
      </c>
      <c r="P11" t="str">
        <f>IF(OR(B11="",COUNTIF($B$6:$B11,B11)&gt;1),"",B11)</f>
        <v/>
      </c>
      <c r="Q11" t="str">
        <f t="shared" si="0"/>
        <v/>
      </c>
      <c r="R11" t="str">
        <f t="shared" si="1"/>
        <v/>
      </c>
      <c r="S11" t="str">
        <f>IF(P11="","",COUNTIFS($R$6:$R$305,"&gt;"&amp;R11,$P$6:$P$305,"&lt;&gt;")+COUNTIFS($R$6:$R11,"="&amp;R11,$P$6:$P11,"&lt;&gt;"))</f>
        <v/>
      </c>
      <c r="T11" t="str">
        <f>IF(Participants!B10="","",Participants!B10)</f>
        <v>Rachel Stewart</v>
      </c>
      <c r="U11" t="str">
        <f>IF(Participants!C10="","",Participants!C10)</f>
        <v>Mohamed Salah</v>
      </c>
      <c r="V11">
        <f t="shared" si="2"/>
        <v>0</v>
      </c>
      <c r="W11">
        <f>IF(T11="","",COUNTIFS($V$6:$V$105,"&gt;"&amp;V11,$T$6:$T$105,"&lt;&gt;")+COUNTIFS($V$6:$V11,"="&amp;V11,$T$6:$T11,"&lt;&gt;"))</f>
        <v>7</v>
      </c>
    </row>
    <row r="12" spans="1:23" x14ac:dyDescent="0.25">
      <c r="A12" s="43"/>
      <c r="B12" s="56"/>
      <c r="C12" s="56"/>
      <c r="D12" s="43"/>
      <c r="F12" s="43">
        <v>7</v>
      </c>
      <c r="G12" s="44" t="str">
        <f>IFERROR(INDEX($P$6:$P$305,MATCH(7,$S$6:$S$305,0)),"")</f>
        <v/>
      </c>
      <c r="H12" s="44" t="str">
        <f>IFERROR(INDEX($Q$6:$Q$305,MATCH(7,$S$6:$S$305,0)),"")</f>
        <v/>
      </c>
      <c r="I12" s="43" t="str">
        <f>IFERROR(INDEX($R$6:$R$305,MATCH(7,$S$6:$S$305,0)),"")</f>
        <v/>
      </c>
      <c r="K12" s="43">
        <v>7</v>
      </c>
      <c r="L12" s="44" t="str">
        <f>IFERROR(INDEX($T$6:$T$105,MATCH(7,$W$6:$W$105,0)),"")</f>
        <v>Rachel Stewart</v>
      </c>
      <c r="M12" s="44" t="str">
        <f>IFERROR(INDEX($U$6:$U$105,MATCH(7,$W$6:$W$105,0)),"")</f>
        <v>Mohamed Salah</v>
      </c>
      <c r="N12" s="43">
        <f>IFERROR(INDEX($V$6:$V$105,MATCH(7,$W$6:$W$105,0)),"")</f>
        <v>0</v>
      </c>
      <c r="P12" t="str">
        <f>IF(OR(B12="",COUNTIF($B$6:$B12,B12)&gt;1),"",B12)</f>
        <v/>
      </c>
      <c r="Q12" t="str">
        <f t="shared" si="0"/>
        <v/>
      </c>
      <c r="R12" t="str">
        <f t="shared" si="1"/>
        <v/>
      </c>
      <c r="S12" t="str">
        <f>IF(P12="","",COUNTIFS($R$6:$R$305,"&gt;"&amp;R12,$P$6:$P$305,"&lt;&gt;")+COUNTIFS($R$6:$R12,"="&amp;R12,$P$6:$P12,"&lt;&gt;"))</f>
        <v/>
      </c>
      <c r="T12" t="str">
        <f>IF(Participants!B11="","",Participants!B11)</f>
        <v>Chris Martinez</v>
      </c>
      <c r="U12" t="str">
        <f>IF(Participants!C11="","",Participants!C11)</f>
        <v>Jude Bellingham</v>
      </c>
      <c r="V12">
        <f t="shared" si="2"/>
        <v>0</v>
      </c>
      <c r="W12">
        <f>IF(T12="","",COUNTIFS($V$6:$V$105,"&gt;"&amp;V12,$T$6:$T$105,"&lt;&gt;")+COUNTIFS($V$6:$V12,"="&amp;V12,$T$6:$T12,"&lt;&gt;"))</f>
        <v>8</v>
      </c>
    </row>
    <row r="13" spans="1:23" x14ac:dyDescent="0.25">
      <c r="A13" s="43"/>
      <c r="B13" s="56"/>
      <c r="C13" s="56"/>
      <c r="D13" s="43"/>
      <c r="F13" s="43">
        <v>8</v>
      </c>
      <c r="G13" s="44" t="str">
        <f>IFERROR(INDEX($P$6:$P$305,MATCH(8,$S$6:$S$305,0)),"")</f>
        <v/>
      </c>
      <c r="H13" s="44" t="str">
        <f>IFERROR(INDEX($Q$6:$Q$305,MATCH(8,$S$6:$S$305,0)),"")</f>
        <v/>
      </c>
      <c r="I13" s="43" t="str">
        <f>IFERROR(INDEX($R$6:$R$305,MATCH(8,$S$6:$S$305,0)),"")</f>
        <v/>
      </c>
      <c r="K13" s="43">
        <v>8</v>
      </c>
      <c r="L13" s="44" t="str">
        <f>IFERROR(INDEX($T$6:$T$105,MATCH(8,$W$6:$W$105,0)),"")</f>
        <v>Chris Martinez</v>
      </c>
      <c r="M13" s="44" t="str">
        <f>IFERROR(INDEX($U$6:$U$105,MATCH(8,$W$6:$W$105,0)),"")</f>
        <v>Jude Bellingham</v>
      </c>
      <c r="N13" s="43">
        <f>IFERROR(INDEX($V$6:$V$105,MATCH(8,$W$6:$W$105,0)),"")</f>
        <v>0</v>
      </c>
      <c r="P13" t="str">
        <f>IF(OR(B13="",COUNTIF($B$6:$B13,B13)&gt;1),"",B13)</f>
        <v/>
      </c>
      <c r="Q13" t="str">
        <f t="shared" si="0"/>
        <v/>
      </c>
      <c r="R13" t="str">
        <f t="shared" si="1"/>
        <v/>
      </c>
      <c r="S13" t="str">
        <f>IF(P13="","",COUNTIFS($R$6:$R$305,"&gt;"&amp;R13,$P$6:$P$305,"&lt;&gt;")+COUNTIFS($R$6:$R13,"="&amp;R13,$P$6:$P13,"&lt;&gt;"))</f>
        <v/>
      </c>
      <c r="T13" t="str">
        <f>IF(Participants!B12="","",Participants!B12)</f>
        <v>Jessica Park</v>
      </c>
      <c r="U13" t="str">
        <f>IF(Participants!C12="","",Participants!C12)</f>
        <v>Lamine Yamal</v>
      </c>
      <c r="V13">
        <f t="shared" si="2"/>
        <v>0</v>
      </c>
      <c r="W13">
        <f>IF(T13="","",COUNTIFS($V$6:$V$105,"&gt;"&amp;V13,$T$6:$T$105,"&lt;&gt;")+COUNTIFS($V$6:$V13,"="&amp;V13,$T$6:$T13,"&lt;&gt;"))</f>
        <v>9</v>
      </c>
    </row>
    <row r="14" spans="1:23" x14ac:dyDescent="0.25">
      <c r="A14" s="43"/>
      <c r="B14" s="56"/>
      <c r="C14" s="56"/>
      <c r="D14" s="43"/>
      <c r="F14" s="43">
        <v>9</v>
      </c>
      <c r="G14" s="44" t="str">
        <f>IFERROR(INDEX($P$6:$P$305,MATCH(9,$S$6:$S$305,0)),"")</f>
        <v/>
      </c>
      <c r="H14" s="44" t="str">
        <f>IFERROR(INDEX($Q$6:$Q$305,MATCH(9,$S$6:$S$305,0)),"")</f>
        <v/>
      </c>
      <c r="I14" s="43" t="str">
        <f>IFERROR(INDEX($R$6:$R$305,MATCH(9,$S$6:$S$305,0)),"")</f>
        <v/>
      </c>
      <c r="K14" s="43">
        <v>9</v>
      </c>
      <c r="L14" s="44" t="str">
        <f>IFERROR(INDEX($T$6:$T$105,MATCH(9,$W$6:$W$105,0)),"")</f>
        <v>Jessica Park</v>
      </c>
      <c r="M14" s="44" t="str">
        <f>IFERROR(INDEX($U$6:$U$105,MATCH(9,$W$6:$W$105,0)),"")</f>
        <v>Lamine Yamal</v>
      </c>
      <c r="N14" s="43">
        <f>IFERROR(INDEX($V$6:$V$105,MATCH(9,$W$6:$W$105,0)),"")</f>
        <v>0</v>
      </c>
      <c r="P14" t="str">
        <f>IF(OR(B14="",COUNTIF($B$6:$B14,B14)&gt;1),"",B14)</f>
        <v/>
      </c>
      <c r="Q14" t="str">
        <f t="shared" si="0"/>
        <v/>
      </c>
      <c r="R14" t="str">
        <f t="shared" si="1"/>
        <v/>
      </c>
      <c r="S14" t="str">
        <f>IF(P14="","",COUNTIFS($R$6:$R$305,"&gt;"&amp;R14,$P$6:$P$305,"&lt;&gt;")+COUNTIFS($R$6:$R14,"="&amp;R14,$P$6:$P14,"&lt;&gt;"))</f>
        <v/>
      </c>
      <c r="T14" t="str">
        <f>IF(Participants!B13="","",Participants!B13)</f>
        <v>Andrew Collins</v>
      </c>
      <c r="U14" t="str">
        <f>IF(Participants!C13="","",Participants!C13)</f>
        <v>Bukayo Saka</v>
      </c>
      <c r="V14">
        <f t="shared" si="2"/>
        <v>0</v>
      </c>
      <c r="W14">
        <f>IF(T14="","",COUNTIFS($V$6:$V$105,"&gt;"&amp;V14,$T$6:$T$105,"&lt;&gt;")+COUNTIFS($V$6:$V14,"="&amp;V14,$T$6:$T14,"&lt;&gt;"))</f>
        <v>10</v>
      </c>
    </row>
    <row r="15" spans="1:23" x14ac:dyDescent="0.25">
      <c r="A15" s="43"/>
      <c r="B15" s="56"/>
      <c r="C15" s="56"/>
      <c r="D15" s="43"/>
      <c r="F15" s="43">
        <v>10</v>
      </c>
      <c r="G15" s="44" t="str">
        <f>IFERROR(INDEX($P$6:$P$305,MATCH(10,$S$6:$S$305,0)),"")</f>
        <v/>
      </c>
      <c r="H15" s="44" t="str">
        <f>IFERROR(INDEX($Q$6:$Q$305,MATCH(10,$S$6:$S$305,0)),"")</f>
        <v/>
      </c>
      <c r="I15" s="43" t="str">
        <f>IFERROR(INDEX($R$6:$R$305,MATCH(10,$S$6:$S$305,0)),"")</f>
        <v/>
      </c>
      <c r="K15" s="43">
        <v>10</v>
      </c>
      <c r="L15" s="44" t="str">
        <f>IFERROR(INDEX($T$6:$T$105,MATCH(10,$W$6:$W$105,0)),"")</f>
        <v>Andrew Collins</v>
      </c>
      <c r="M15" s="44" t="str">
        <f>IFERROR(INDEX($U$6:$U$105,MATCH(10,$W$6:$W$105,0)),"")</f>
        <v>Bukayo Saka</v>
      </c>
      <c r="N15" s="43">
        <f>IFERROR(INDEX($V$6:$V$105,MATCH(10,$W$6:$W$105,0)),"")</f>
        <v>0</v>
      </c>
      <c r="P15" t="str">
        <f>IF(OR(B15="",COUNTIF($B$6:$B15,B15)&gt;1),"",B15)</f>
        <v/>
      </c>
      <c r="Q15" t="str">
        <f t="shared" si="0"/>
        <v/>
      </c>
      <c r="R15" t="str">
        <f t="shared" si="1"/>
        <v/>
      </c>
      <c r="S15" t="str">
        <f>IF(P15="","",COUNTIFS($R$6:$R$305,"&gt;"&amp;R15,$P$6:$P$305,"&lt;&gt;")+COUNTIFS($R$6:$R15,"="&amp;R15,$P$6:$P15,"&lt;&gt;"))</f>
        <v/>
      </c>
      <c r="T15" t="str">
        <f>IF(Participants!B14="","",Participants!B14)</f>
        <v>Laura Bennett</v>
      </c>
      <c r="U15" t="str">
        <f>IF(Participants!C14="","",Participants!C14)</f>
        <v>Victor Osimhen</v>
      </c>
      <c r="V15">
        <f t="shared" si="2"/>
        <v>0</v>
      </c>
      <c r="W15">
        <f>IF(T15="","",COUNTIFS($V$6:$V$105,"&gt;"&amp;V15,$T$6:$T$105,"&lt;&gt;")+COUNTIFS($V$6:$V15,"="&amp;V15,$T$6:$T15,"&lt;&gt;"))</f>
        <v>11</v>
      </c>
    </row>
    <row r="16" spans="1:23" x14ac:dyDescent="0.25">
      <c r="A16" s="43"/>
      <c r="B16" s="56"/>
      <c r="C16" s="56"/>
      <c r="D16" s="43"/>
      <c r="F16" s="43">
        <v>11</v>
      </c>
      <c r="G16" s="44" t="str">
        <f>IFERROR(INDEX($P$6:$P$305,MATCH(11,$S$6:$S$305,0)),"")</f>
        <v/>
      </c>
      <c r="H16" s="44" t="str">
        <f>IFERROR(INDEX($Q$6:$Q$305,MATCH(11,$S$6:$S$305,0)),"")</f>
        <v/>
      </c>
      <c r="I16" s="43" t="str">
        <f>IFERROR(INDEX($R$6:$R$305,MATCH(11,$S$6:$S$305,0)),"")</f>
        <v/>
      </c>
      <c r="K16" s="43">
        <v>11</v>
      </c>
      <c r="L16" s="44" t="str">
        <f>IFERROR(INDEX($T$6:$T$105,MATCH(11,$W$6:$W$105,0)),"")</f>
        <v>Laura Bennett</v>
      </c>
      <c r="M16" s="44" t="str">
        <f>IFERROR(INDEX($U$6:$U$105,MATCH(11,$W$6:$W$105,0)),"")</f>
        <v>Victor Osimhen</v>
      </c>
      <c r="N16" s="43">
        <f>IFERROR(INDEX($V$6:$V$105,MATCH(11,$W$6:$W$105,0)),"")</f>
        <v>0</v>
      </c>
      <c r="P16" t="str">
        <f>IF(OR(B16="",COUNTIF($B$6:$B16,B16)&gt;1),"",B16)</f>
        <v/>
      </c>
      <c r="Q16" t="str">
        <f t="shared" si="0"/>
        <v/>
      </c>
      <c r="R16" t="str">
        <f t="shared" si="1"/>
        <v/>
      </c>
      <c r="S16" t="str">
        <f>IF(P16="","",COUNTIFS($R$6:$R$305,"&gt;"&amp;R16,$P$6:$P$305,"&lt;&gt;")+COUNTIFS($R$6:$R16,"="&amp;R16,$P$6:$P16,"&lt;&gt;"))</f>
        <v/>
      </c>
      <c r="T16" t="str">
        <f>IF(Participants!B15="","",Participants!B15)</f>
        <v>Tom Nguyen</v>
      </c>
      <c r="U16" t="str">
        <f>IF(Participants!C15="","",Participants!C15)</f>
        <v>Cristiano Ronaldo</v>
      </c>
      <c r="V16">
        <f t="shared" si="2"/>
        <v>0</v>
      </c>
      <c r="W16">
        <f>IF(T16="","",COUNTIFS($V$6:$V$105,"&gt;"&amp;V16,$T$6:$T$105,"&lt;&gt;")+COUNTIFS($V$6:$V16,"="&amp;V16,$T$6:$T16,"&lt;&gt;"))</f>
        <v>12</v>
      </c>
    </row>
    <row r="17" spans="1:23" x14ac:dyDescent="0.25">
      <c r="A17" s="43"/>
      <c r="B17" s="56"/>
      <c r="C17" s="56"/>
      <c r="D17" s="43"/>
      <c r="F17" s="43">
        <v>12</v>
      </c>
      <c r="G17" s="44" t="str">
        <f>IFERROR(INDEX($P$6:$P$305,MATCH(12,$S$6:$S$305,0)),"")</f>
        <v/>
      </c>
      <c r="H17" s="44" t="str">
        <f>IFERROR(INDEX($Q$6:$Q$305,MATCH(12,$S$6:$S$305,0)),"")</f>
        <v/>
      </c>
      <c r="I17" s="43" t="str">
        <f>IFERROR(INDEX($R$6:$R$305,MATCH(12,$S$6:$S$305,0)),"")</f>
        <v/>
      </c>
      <c r="K17" s="43">
        <v>12</v>
      </c>
      <c r="L17" s="44" t="str">
        <f>IFERROR(INDEX($T$6:$T$105,MATCH(12,$W$6:$W$105,0)),"")</f>
        <v>Tom Nguyen</v>
      </c>
      <c r="M17" s="44" t="str">
        <f>IFERROR(INDEX($U$6:$U$105,MATCH(12,$W$6:$W$105,0)),"")</f>
        <v>Cristiano Ronaldo</v>
      </c>
      <c r="N17" s="43">
        <f>IFERROR(INDEX($V$6:$V$105,MATCH(12,$W$6:$W$105,0)),"")</f>
        <v>0</v>
      </c>
      <c r="P17" t="str">
        <f>IF(OR(B17="",COUNTIF($B$6:$B17,B17)&gt;1),"",B17)</f>
        <v/>
      </c>
      <c r="Q17" t="str">
        <f t="shared" si="0"/>
        <v/>
      </c>
      <c r="R17" t="str">
        <f t="shared" si="1"/>
        <v/>
      </c>
      <c r="S17" t="str">
        <f>IF(P17="","",COUNTIFS($R$6:$R$305,"&gt;"&amp;R17,$P$6:$P$305,"&lt;&gt;")+COUNTIFS($R$6:$R17,"="&amp;R17,$P$6:$P17,"&lt;&gt;"))</f>
        <v/>
      </c>
      <c r="T17" t="str">
        <f>IF(Participants!B16="","",Participants!B16)</f>
        <v>Sophie Williams</v>
      </c>
      <c r="U17" t="str">
        <f>IF(Participants!C16="","",Participants!C16)</f>
        <v>Robert Lewandowski</v>
      </c>
      <c r="V17">
        <f t="shared" si="2"/>
        <v>0</v>
      </c>
      <c r="W17">
        <f>IF(T17="","",COUNTIFS($V$6:$V$105,"&gt;"&amp;V17,$T$6:$T$105,"&lt;&gt;")+COUNTIFS($V$6:$V17,"="&amp;V17,$T$6:$T17,"&lt;&gt;"))</f>
        <v>13</v>
      </c>
    </row>
    <row r="18" spans="1:23" x14ac:dyDescent="0.25">
      <c r="A18" s="43"/>
      <c r="B18" s="56"/>
      <c r="C18" s="56"/>
      <c r="D18" s="43"/>
      <c r="F18" s="43">
        <v>13</v>
      </c>
      <c r="G18" s="44" t="str">
        <f>IFERROR(INDEX($P$6:$P$305,MATCH(13,$S$6:$S$305,0)),"")</f>
        <v/>
      </c>
      <c r="H18" s="44" t="str">
        <f>IFERROR(INDEX($Q$6:$Q$305,MATCH(13,$S$6:$S$305,0)),"")</f>
        <v/>
      </c>
      <c r="I18" s="43" t="str">
        <f>IFERROR(INDEX($R$6:$R$305,MATCH(13,$S$6:$S$305,0)),"")</f>
        <v/>
      </c>
      <c r="K18" s="43">
        <v>13</v>
      </c>
      <c r="L18" s="44" t="str">
        <f>IFERROR(INDEX($T$6:$T$105,MATCH(13,$W$6:$W$105,0)),"")</f>
        <v>Sophie Williams</v>
      </c>
      <c r="M18" s="44" t="str">
        <f>IFERROR(INDEX($U$6:$U$105,MATCH(13,$W$6:$W$105,0)),"")</f>
        <v>Robert Lewandowski</v>
      </c>
      <c r="N18" s="43">
        <f>IFERROR(INDEX($V$6:$V$105,MATCH(13,$W$6:$W$105,0)),"")</f>
        <v>0</v>
      </c>
      <c r="P18" t="str">
        <f>IF(OR(B18="",COUNTIF($B$6:$B18,B18)&gt;1),"",B18)</f>
        <v/>
      </c>
      <c r="Q18" t="str">
        <f t="shared" si="0"/>
        <v/>
      </c>
      <c r="R18" t="str">
        <f t="shared" si="1"/>
        <v/>
      </c>
      <c r="S18" t="str">
        <f>IF(P18="","",COUNTIFS($R$6:$R$305,"&gt;"&amp;R18,$P$6:$P$305,"&lt;&gt;")+COUNTIFS($R$6:$R18,"="&amp;R18,$P$6:$P18,"&lt;&gt;"))</f>
        <v/>
      </c>
      <c r="T18" t="str">
        <f>IF(Participants!B17="","",Participants!B17)</f>
        <v>Ryan O'Connor</v>
      </c>
      <c r="U18" t="str">
        <f>IF(Participants!C17="","",Participants!C17)</f>
        <v>Darwin Núñez</v>
      </c>
      <c r="V18">
        <f t="shared" si="2"/>
        <v>0</v>
      </c>
      <c r="W18">
        <f>IF(T18="","",COUNTIFS($V$6:$V$105,"&gt;"&amp;V18,$T$6:$T$105,"&lt;&gt;")+COUNTIFS($V$6:$V18,"="&amp;V18,$T$6:$T18,"&lt;&gt;"))</f>
        <v>14</v>
      </c>
    </row>
    <row r="19" spans="1:23" x14ac:dyDescent="0.25">
      <c r="A19" s="43"/>
      <c r="B19" s="56"/>
      <c r="C19" s="56"/>
      <c r="D19" s="43"/>
      <c r="F19" s="43">
        <v>14</v>
      </c>
      <c r="G19" s="44" t="str">
        <f>IFERROR(INDEX($P$6:$P$305,MATCH(14,$S$6:$S$305,0)),"")</f>
        <v/>
      </c>
      <c r="H19" s="44" t="str">
        <f>IFERROR(INDEX($Q$6:$Q$305,MATCH(14,$S$6:$S$305,0)),"")</f>
        <v/>
      </c>
      <c r="I19" s="43" t="str">
        <f>IFERROR(INDEX($R$6:$R$305,MATCH(14,$S$6:$S$305,0)),"")</f>
        <v/>
      </c>
      <c r="K19" s="43">
        <v>14</v>
      </c>
      <c r="L19" s="44" t="str">
        <f>IFERROR(INDEX($T$6:$T$105,MATCH(14,$W$6:$W$105,0)),"")</f>
        <v>Ryan O'Connor</v>
      </c>
      <c r="M19" s="44" t="str">
        <f>IFERROR(INDEX($U$6:$U$105,MATCH(14,$W$6:$W$105,0)),"")</f>
        <v>Darwin Núñez</v>
      </c>
      <c r="N19" s="43">
        <f>IFERROR(INDEX($V$6:$V$105,MATCH(14,$W$6:$W$105,0)),"")</f>
        <v>0</v>
      </c>
      <c r="P19" t="str">
        <f>IF(OR(B19="",COUNTIF($B$6:$B19,B19)&gt;1),"",B19)</f>
        <v/>
      </c>
      <c r="Q19" t="str">
        <f t="shared" si="0"/>
        <v/>
      </c>
      <c r="R19" t="str">
        <f t="shared" si="1"/>
        <v/>
      </c>
      <c r="S19" t="str">
        <f>IF(P19="","",COUNTIFS($R$6:$R$305,"&gt;"&amp;R19,$P$6:$P$305,"&lt;&gt;")+COUNTIFS($R$6:$R19,"="&amp;R19,$P$6:$P19,"&lt;&gt;"))</f>
        <v/>
      </c>
      <c r="T19" t="str">
        <f>IF(Participants!B18="","",Participants!B18)</f>
        <v>Hannah Lee</v>
      </c>
      <c r="U19" t="str">
        <f>IF(Participants!C18="","",Participants!C18)</f>
        <v>Julian Álvarez</v>
      </c>
      <c r="V19">
        <f t="shared" si="2"/>
        <v>0</v>
      </c>
      <c r="W19">
        <f>IF(T19="","",COUNTIFS($V$6:$V$105,"&gt;"&amp;V19,$T$6:$T$105,"&lt;&gt;")+COUNTIFS($V$6:$V19,"="&amp;V19,$T$6:$T19,"&lt;&gt;"))</f>
        <v>15</v>
      </c>
    </row>
    <row r="20" spans="1:23" x14ac:dyDescent="0.25">
      <c r="A20" s="43"/>
      <c r="B20" s="56"/>
      <c r="C20" s="56"/>
      <c r="D20" s="43"/>
      <c r="F20" s="43">
        <v>15</v>
      </c>
      <c r="G20" s="44" t="str">
        <f>IFERROR(INDEX($P$6:$P$305,MATCH(15,$S$6:$S$305,0)),"")</f>
        <v/>
      </c>
      <c r="H20" s="44" t="str">
        <f>IFERROR(INDEX($Q$6:$Q$305,MATCH(15,$S$6:$S$305,0)),"")</f>
        <v/>
      </c>
      <c r="I20" s="43" t="str">
        <f>IFERROR(INDEX($R$6:$R$305,MATCH(15,$S$6:$S$305,0)),"")</f>
        <v/>
      </c>
      <c r="K20" s="43">
        <v>15</v>
      </c>
      <c r="L20" s="44" t="str">
        <f>IFERROR(INDEX($T$6:$T$105,MATCH(15,$W$6:$W$105,0)),"")</f>
        <v>Hannah Lee</v>
      </c>
      <c r="M20" s="44" t="str">
        <f>IFERROR(INDEX($U$6:$U$105,MATCH(15,$W$6:$W$105,0)),"")</f>
        <v>Julian Álvarez</v>
      </c>
      <c r="N20" s="43">
        <f>IFERROR(INDEX($V$6:$V$105,MATCH(15,$W$6:$W$105,0)),"")</f>
        <v>0</v>
      </c>
      <c r="P20" t="str">
        <f>IF(OR(B20="",COUNTIF($B$6:$B20,B20)&gt;1),"",B20)</f>
        <v/>
      </c>
      <c r="Q20" t="str">
        <f t="shared" si="0"/>
        <v/>
      </c>
      <c r="R20" t="str">
        <f t="shared" si="1"/>
        <v/>
      </c>
      <c r="S20" t="str">
        <f>IF(P20="","",COUNTIFS($R$6:$R$305,"&gt;"&amp;R20,$P$6:$P$305,"&lt;&gt;")+COUNTIFS($R$6:$R20,"="&amp;R20,$P$6:$P20,"&lt;&gt;"))</f>
        <v/>
      </c>
      <c r="T20" t="str">
        <f>IF(Participants!B19="","",Participants!B19)</f>
        <v>Mark Davidson</v>
      </c>
      <c r="U20" t="str">
        <f>IF(Participants!C19="","",Participants!C19)</f>
        <v>Romelu Lukaku</v>
      </c>
      <c r="V20">
        <f t="shared" si="2"/>
        <v>0</v>
      </c>
      <c r="W20">
        <f>IF(T20="","",COUNTIFS($V$6:$V$105,"&gt;"&amp;V20,$T$6:$T$105,"&lt;&gt;")+COUNTIFS($V$6:$V20,"="&amp;V20,$T$6:$T20,"&lt;&gt;"))</f>
        <v>16</v>
      </c>
    </row>
    <row r="21" spans="1:23" x14ac:dyDescent="0.25">
      <c r="A21" s="43"/>
      <c r="B21" s="56"/>
      <c r="C21" s="56"/>
      <c r="D21" s="43"/>
      <c r="F21" s="43">
        <v>16</v>
      </c>
      <c r="G21" s="44" t="str">
        <f>IFERROR(INDEX($P$6:$P$305,MATCH(16,$S$6:$S$305,0)),"")</f>
        <v/>
      </c>
      <c r="H21" s="44" t="str">
        <f>IFERROR(INDEX($Q$6:$Q$305,MATCH(16,$S$6:$S$305,0)),"")</f>
        <v/>
      </c>
      <c r="I21" s="43" t="str">
        <f>IFERROR(INDEX($R$6:$R$305,MATCH(16,$S$6:$S$305,0)),"")</f>
        <v/>
      </c>
      <c r="K21" s="43">
        <v>16</v>
      </c>
      <c r="L21" s="44" t="str">
        <f>IFERROR(INDEX($T$6:$T$105,MATCH(16,$W$6:$W$105,0)),"")</f>
        <v>Mark Davidson</v>
      </c>
      <c r="M21" s="44" t="str">
        <f>IFERROR(INDEX($U$6:$U$105,MATCH(16,$W$6:$W$105,0)),"")</f>
        <v>Romelu Lukaku</v>
      </c>
      <c r="N21" s="43">
        <f>IFERROR(INDEX($V$6:$V$105,MATCH(16,$W$6:$W$105,0)),"")</f>
        <v>0</v>
      </c>
      <c r="P21" t="str">
        <f>IF(OR(B21="",COUNTIF($B$6:$B21,B21)&gt;1),"",B21)</f>
        <v/>
      </c>
      <c r="Q21" t="str">
        <f t="shared" si="0"/>
        <v/>
      </c>
      <c r="R21" t="str">
        <f t="shared" si="1"/>
        <v/>
      </c>
      <c r="S21" t="str">
        <f>IF(P21="","",COUNTIFS($R$6:$R$305,"&gt;"&amp;R21,$P$6:$P$305,"&lt;&gt;")+COUNTIFS($R$6:$R21,"="&amp;R21,$P$6:$P21,"&lt;&gt;"))</f>
        <v/>
      </c>
      <c r="T21" t="str">
        <f>IF(Participants!B20="","",Participants!B20)</f>
        <v>Priya Sharma</v>
      </c>
      <c r="U21" t="str">
        <f>IF(Participants!C20="","",Participants!C20)</f>
        <v>Cody Gakpo</v>
      </c>
      <c r="V21">
        <f t="shared" si="2"/>
        <v>0</v>
      </c>
      <c r="W21">
        <f>IF(T21="","",COUNTIFS($V$6:$V$105,"&gt;"&amp;V21,$T$6:$T$105,"&lt;&gt;")+COUNTIFS($V$6:$V21,"="&amp;V21,$T$6:$T21,"&lt;&gt;"))</f>
        <v>17</v>
      </c>
    </row>
    <row r="22" spans="1:23" x14ac:dyDescent="0.25">
      <c r="A22" s="43"/>
      <c r="B22" s="56"/>
      <c r="C22" s="56"/>
      <c r="D22" s="43"/>
      <c r="F22" s="43">
        <v>17</v>
      </c>
      <c r="G22" s="44" t="str">
        <f>IFERROR(INDEX($P$6:$P$305,MATCH(17,$S$6:$S$305,0)),"")</f>
        <v/>
      </c>
      <c r="H22" s="44" t="str">
        <f>IFERROR(INDEX($Q$6:$Q$305,MATCH(17,$S$6:$S$305,0)),"")</f>
        <v/>
      </c>
      <c r="I22" s="43" t="str">
        <f>IFERROR(INDEX($R$6:$R$305,MATCH(17,$S$6:$S$305,0)),"")</f>
        <v/>
      </c>
      <c r="K22" s="43">
        <v>17</v>
      </c>
      <c r="L22" s="44" t="str">
        <f>IFERROR(INDEX($T$6:$T$105,MATCH(17,$W$6:$W$105,0)),"")</f>
        <v>Priya Sharma</v>
      </c>
      <c r="M22" s="44" t="str">
        <f>IFERROR(INDEX($U$6:$U$105,MATCH(17,$W$6:$W$105,0)),"")</f>
        <v>Cody Gakpo</v>
      </c>
      <c r="N22" s="43">
        <f>IFERROR(INDEX($V$6:$V$105,MATCH(17,$W$6:$W$105,0)),"")</f>
        <v>0</v>
      </c>
      <c r="P22" t="str">
        <f>IF(OR(B22="",COUNTIF($B$6:$B22,B22)&gt;1),"",B22)</f>
        <v/>
      </c>
      <c r="Q22" t="str">
        <f t="shared" si="0"/>
        <v/>
      </c>
      <c r="R22" t="str">
        <f t="shared" si="1"/>
        <v/>
      </c>
      <c r="S22" t="str">
        <f>IF(P22="","",COUNTIFS($R$6:$R$305,"&gt;"&amp;R22,$P$6:$P$305,"&lt;&gt;")+COUNTIFS($R$6:$R22,"="&amp;R22,$P$6:$P22,"&lt;&gt;"))</f>
        <v/>
      </c>
      <c r="T22" t="str">
        <f>IF(Participants!B21="","",Participants!B21)</f>
        <v>Luke Anderson</v>
      </c>
      <c r="U22" t="str">
        <f>IF(Participants!C21="","",Participants!C21)</f>
        <v>Alexander Isak</v>
      </c>
      <c r="V22">
        <f t="shared" si="2"/>
        <v>0</v>
      </c>
      <c r="W22">
        <f>IF(T22="","",COUNTIFS($V$6:$V$105,"&gt;"&amp;V22,$T$6:$T$105,"&lt;&gt;")+COUNTIFS($V$6:$V22,"="&amp;V22,$T$6:$T22,"&lt;&gt;"))</f>
        <v>18</v>
      </c>
    </row>
    <row r="23" spans="1:23" x14ac:dyDescent="0.25">
      <c r="A23" s="43"/>
      <c r="B23" s="56"/>
      <c r="C23" s="56"/>
      <c r="D23" s="43"/>
      <c r="F23" s="43">
        <v>18</v>
      </c>
      <c r="G23" s="44" t="str">
        <f>IFERROR(INDEX($P$6:$P$305,MATCH(18,$S$6:$S$305,0)),"")</f>
        <v/>
      </c>
      <c r="H23" s="44" t="str">
        <f>IFERROR(INDEX($Q$6:$Q$305,MATCH(18,$S$6:$S$305,0)),"")</f>
        <v/>
      </c>
      <c r="I23" s="43" t="str">
        <f>IFERROR(INDEX($R$6:$R$305,MATCH(18,$S$6:$S$305,0)),"")</f>
        <v/>
      </c>
      <c r="K23" s="43">
        <v>18</v>
      </c>
      <c r="L23" s="44" t="str">
        <f>IFERROR(INDEX($T$6:$T$105,MATCH(18,$W$6:$W$105,0)),"")</f>
        <v>Luke Anderson</v>
      </c>
      <c r="M23" s="44" t="str">
        <f>IFERROR(INDEX($U$6:$U$105,MATCH(18,$W$6:$W$105,0)),"")</f>
        <v>Alexander Isak</v>
      </c>
      <c r="N23" s="43">
        <f>IFERROR(INDEX($V$6:$V$105,MATCH(18,$W$6:$W$105,0)),"")</f>
        <v>0</v>
      </c>
      <c r="P23" t="str">
        <f>IF(OR(B23="",COUNTIF($B$6:$B23,B23)&gt;1),"",B23)</f>
        <v/>
      </c>
      <c r="Q23" t="str">
        <f t="shared" si="0"/>
        <v/>
      </c>
      <c r="R23" t="str">
        <f t="shared" si="1"/>
        <v/>
      </c>
      <c r="S23" t="str">
        <f>IF(P23="","",COUNTIFS($R$6:$R$305,"&gt;"&amp;R23,$P$6:$P$305,"&lt;&gt;")+COUNTIFS($R$6:$R23,"="&amp;R23,$P$6:$P23,"&lt;&gt;"))</f>
        <v/>
      </c>
      <c r="T23" t="str">
        <f>IF(Participants!B22="","",Participants!B22)</f>
        <v>Megan Taylor</v>
      </c>
      <c r="U23" t="str">
        <f>IF(Participants!C22="","",Participants!C22)</f>
        <v>Randal Kolo Muani</v>
      </c>
      <c r="V23">
        <f t="shared" si="2"/>
        <v>0</v>
      </c>
      <c r="W23">
        <f>IF(T23="","",COUNTIFS($V$6:$V$105,"&gt;"&amp;V23,$T$6:$T$105,"&lt;&gt;")+COUNTIFS($V$6:$V23,"="&amp;V23,$T$6:$T23,"&lt;&gt;"))</f>
        <v>19</v>
      </c>
    </row>
    <row r="24" spans="1:23" x14ac:dyDescent="0.25">
      <c r="A24" s="43"/>
      <c r="B24" s="56"/>
      <c r="C24" s="56"/>
      <c r="D24" s="43"/>
      <c r="F24" s="43">
        <v>19</v>
      </c>
      <c r="G24" s="44" t="str">
        <f>IFERROR(INDEX($P$6:$P$305,MATCH(19,$S$6:$S$305,0)),"")</f>
        <v/>
      </c>
      <c r="H24" s="44" t="str">
        <f>IFERROR(INDEX($Q$6:$Q$305,MATCH(19,$S$6:$S$305,0)),"")</f>
        <v/>
      </c>
      <c r="I24" s="43" t="str">
        <f>IFERROR(INDEX($R$6:$R$305,MATCH(19,$S$6:$S$305,0)),"")</f>
        <v/>
      </c>
      <c r="K24" s="43">
        <v>19</v>
      </c>
      <c r="L24" s="44" t="str">
        <f>IFERROR(INDEX($T$6:$T$105,MATCH(19,$W$6:$W$105,0)),"")</f>
        <v>Megan Taylor</v>
      </c>
      <c r="M24" s="44" t="str">
        <f>IFERROR(INDEX($U$6:$U$105,MATCH(19,$W$6:$W$105,0)),"")</f>
        <v>Randal Kolo Muani</v>
      </c>
      <c r="N24" s="43">
        <f>IFERROR(INDEX($V$6:$V$105,MATCH(19,$W$6:$W$105,0)),"")</f>
        <v>0</v>
      </c>
      <c r="P24" t="str">
        <f>IF(OR(B24="",COUNTIF($B$6:$B24,B24)&gt;1),"",B24)</f>
        <v/>
      </c>
      <c r="Q24" t="str">
        <f t="shared" si="0"/>
        <v/>
      </c>
      <c r="R24" t="str">
        <f t="shared" si="1"/>
        <v/>
      </c>
      <c r="S24" t="str">
        <f>IF(P24="","",COUNTIFS($R$6:$R$305,"&gt;"&amp;R24,$P$6:$P$305,"&lt;&gt;")+COUNTIFS($R$6:$R24,"="&amp;R24,$P$6:$P24,"&lt;&gt;"))</f>
        <v/>
      </c>
      <c r="T24" t="str">
        <f>IF(Participants!B23="","",Participants!B23)</f>
        <v>Daniel Brown</v>
      </c>
      <c r="U24" t="str">
        <f>IF(Participants!C23="","",Participants!C23)</f>
        <v>Kai Havertz</v>
      </c>
      <c r="V24">
        <f t="shared" si="2"/>
        <v>0</v>
      </c>
      <c r="W24">
        <f>IF(T24="","",COUNTIFS($V$6:$V$105,"&gt;"&amp;V24,$T$6:$T$105,"&lt;&gt;")+COUNTIFS($V$6:$V24,"="&amp;V24,$T$6:$T24,"&lt;&gt;"))</f>
        <v>20</v>
      </c>
    </row>
    <row r="25" spans="1:23" x14ac:dyDescent="0.25">
      <c r="A25" s="43"/>
      <c r="B25" s="56"/>
      <c r="C25" s="56"/>
      <c r="D25" s="43"/>
      <c r="F25" s="43">
        <v>20</v>
      </c>
      <c r="G25" s="44" t="str">
        <f>IFERROR(INDEX($P$6:$P$305,MATCH(20,$S$6:$S$305,0)),"")</f>
        <v/>
      </c>
      <c r="H25" s="44" t="str">
        <f>IFERROR(INDEX($Q$6:$Q$305,MATCH(20,$S$6:$S$305,0)),"")</f>
        <v/>
      </c>
      <c r="I25" s="43" t="str">
        <f>IFERROR(INDEX($R$6:$R$305,MATCH(20,$S$6:$S$305,0)),"")</f>
        <v/>
      </c>
      <c r="K25" s="43">
        <v>20</v>
      </c>
      <c r="L25" s="44" t="str">
        <f>IFERROR(INDEX($T$6:$T$105,MATCH(20,$W$6:$W$105,0)),"")</f>
        <v>Daniel Brown</v>
      </c>
      <c r="M25" s="44" t="str">
        <f>IFERROR(INDEX($U$6:$U$105,MATCH(20,$W$6:$W$105,0)),"")</f>
        <v>Kai Havertz</v>
      </c>
      <c r="N25" s="43">
        <f>IFERROR(INDEX($V$6:$V$105,MATCH(20,$W$6:$W$105,0)),"")</f>
        <v>0</v>
      </c>
      <c r="P25" t="str">
        <f>IF(OR(B25="",COUNTIF($B$6:$B25,B25)&gt;1),"",B25)</f>
        <v/>
      </c>
      <c r="Q25" t="str">
        <f t="shared" si="0"/>
        <v/>
      </c>
      <c r="R25" t="str">
        <f t="shared" si="1"/>
        <v/>
      </c>
      <c r="S25" t="str">
        <f>IF(P25="","",COUNTIFS($R$6:$R$305,"&gt;"&amp;R25,$P$6:$P$305,"&lt;&gt;")+COUNTIFS($R$6:$R25,"="&amp;R25,$P$6:$P25,"&lt;&gt;"))</f>
        <v/>
      </c>
      <c r="T25" t="str">
        <f>IF(Participants!B24="","",Participants!B24)</f>
        <v>Olivia White</v>
      </c>
      <c r="U25" t="str">
        <f>IF(Participants!C24="","",Participants!C24)</f>
        <v>Dusan Vlahovic</v>
      </c>
      <c r="V25">
        <f t="shared" si="2"/>
        <v>0</v>
      </c>
      <c r="W25">
        <f>IF(T25="","",COUNTIFS($V$6:$V$105,"&gt;"&amp;V25,$T$6:$T$105,"&lt;&gt;")+COUNTIFS($V$6:$V25,"="&amp;V25,$T$6:$T25,"&lt;&gt;"))</f>
        <v>21</v>
      </c>
    </row>
    <row r="26" spans="1:23" x14ac:dyDescent="0.25">
      <c r="A26" s="43"/>
      <c r="B26" s="56"/>
      <c r="C26" s="56"/>
      <c r="D26" s="43"/>
      <c r="F26" s="43">
        <v>21</v>
      </c>
      <c r="G26" s="44" t="str">
        <f>IFERROR(INDEX($P$6:$P$305,MATCH(21,$S$6:$S$305,0)),"")</f>
        <v/>
      </c>
      <c r="H26" s="44" t="str">
        <f>IFERROR(INDEX($Q$6:$Q$305,MATCH(21,$S$6:$S$305,0)),"")</f>
        <v/>
      </c>
      <c r="I26" s="43" t="str">
        <f>IFERROR(INDEX($R$6:$R$305,MATCH(21,$S$6:$S$305,0)),"")</f>
        <v/>
      </c>
      <c r="K26" s="43">
        <v>21</v>
      </c>
      <c r="L26" s="44" t="str">
        <f>IFERROR(INDEX($T$6:$T$105,MATCH(21,$W$6:$W$105,0)),"")</f>
        <v>Olivia White</v>
      </c>
      <c r="M26" s="44" t="str">
        <f>IFERROR(INDEX($U$6:$U$105,MATCH(21,$W$6:$W$105,0)),"")</f>
        <v>Dusan Vlahovic</v>
      </c>
      <c r="N26" s="43">
        <f>IFERROR(INDEX($V$6:$V$105,MATCH(21,$W$6:$W$105,0)),"")</f>
        <v>0</v>
      </c>
      <c r="P26" t="str">
        <f>IF(OR(B26="",COUNTIF($B$6:$B26,B26)&gt;1),"",B26)</f>
        <v/>
      </c>
      <c r="Q26" t="str">
        <f t="shared" si="0"/>
        <v/>
      </c>
      <c r="R26" t="str">
        <f t="shared" si="1"/>
        <v/>
      </c>
      <c r="S26" t="str">
        <f>IF(P26="","",COUNTIFS($R$6:$R$305,"&gt;"&amp;R26,$P$6:$P$305,"&lt;&gt;")+COUNTIFS($R$6:$R26,"="&amp;R26,$P$6:$P26,"&lt;&gt;"))</f>
        <v/>
      </c>
      <c r="T26" t="str">
        <f>IF(Participants!B25="","",Participants!B25)</f>
        <v>Nathan Scott</v>
      </c>
      <c r="U26" t="str">
        <f>IF(Participants!C25="","",Participants!C25)</f>
        <v>Rasmus Højlund</v>
      </c>
      <c r="V26">
        <f t="shared" si="2"/>
        <v>0</v>
      </c>
      <c r="W26">
        <f>IF(T26="","",COUNTIFS($V$6:$V$105,"&gt;"&amp;V26,$T$6:$T$105,"&lt;&gt;")+COUNTIFS($V$6:$V26,"="&amp;V26,$T$6:$T26,"&lt;&gt;"))</f>
        <v>22</v>
      </c>
    </row>
    <row r="27" spans="1:23" x14ac:dyDescent="0.25">
      <c r="A27" s="43"/>
      <c r="B27" s="56"/>
      <c r="C27" s="56"/>
      <c r="D27" s="43"/>
      <c r="F27" s="43">
        <v>22</v>
      </c>
      <c r="G27" s="44" t="str">
        <f>IFERROR(INDEX($P$6:$P$305,MATCH(22,$S$6:$S$305,0)),"")</f>
        <v/>
      </c>
      <c r="H27" s="44" t="str">
        <f>IFERROR(INDEX($Q$6:$Q$305,MATCH(22,$S$6:$S$305,0)),"")</f>
        <v/>
      </c>
      <c r="I27" s="43" t="str">
        <f>IFERROR(INDEX($R$6:$R$305,MATCH(22,$S$6:$S$305,0)),"")</f>
        <v/>
      </c>
      <c r="K27" s="43">
        <v>22</v>
      </c>
      <c r="L27" s="44" t="str">
        <f>IFERROR(INDEX($T$6:$T$105,MATCH(22,$W$6:$W$105,0)),"")</f>
        <v>Nathan Scott</v>
      </c>
      <c r="M27" s="44" t="str">
        <f>IFERROR(INDEX($U$6:$U$105,MATCH(22,$W$6:$W$105,0)),"")</f>
        <v>Rasmus Højlund</v>
      </c>
      <c r="N27" s="43">
        <f>IFERROR(INDEX($V$6:$V$105,MATCH(22,$W$6:$W$105,0)),"")</f>
        <v>0</v>
      </c>
      <c r="P27" t="str">
        <f>IF(OR(B27="",COUNTIF($B$6:$B27,B27)&gt;1),"",B27)</f>
        <v/>
      </c>
      <c r="Q27" t="str">
        <f t="shared" si="0"/>
        <v/>
      </c>
      <c r="R27" t="str">
        <f t="shared" si="1"/>
        <v/>
      </c>
      <c r="S27" t="str">
        <f>IF(P27="","",COUNTIFS($R$6:$R$305,"&gt;"&amp;R27,$P$6:$P$305,"&lt;&gt;")+COUNTIFS($R$6:$R27,"="&amp;R27,$P$6:$P27,"&lt;&gt;"))</f>
        <v/>
      </c>
      <c r="T27" t="str">
        <f>IF(Participants!B26="","",Participants!B26)</f>
        <v>Amy Richardson</v>
      </c>
      <c r="U27" t="str">
        <f>IF(Participants!C26="","",Participants!C26)</f>
        <v>Ollie Watkins</v>
      </c>
      <c r="V27">
        <f t="shared" si="2"/>
        <v>0</v>
      </c>
      <c r="W27">
        <f>IF(T27="","",COUNTIFS($V$6:$V$105,"&gt;"&amp;V27,$T$6:$T$105,"&lt;&gt;")+COUNTIFS($V$6:$V27,"="&amp;V27,$T$6:$T27,"&lt;&gt;"))</f>
        <v>23</v>
      </c>
    </row>
    <row r="28" spans="1:23" x14ac:dyDescent="0.25">
      <c r="A28" s="43"/>
      <c r="B28" s="56"/>
      <c r="C28" s="56"/>
      <c r="D28" s="43"/>
      <c r="F28" s="43">
        <v>23</v>
      </c>
      <c r="G28" s="44" t="str">
        <f>IFERROR(INDEX($P$6:$P$305,MATCH(23,$S$6:$S$305,0)),"")</f>
        <v/>
      </c>
      <c r="H28" s="44" t="str">
        <f>IFERROR(INDEX($Q$6:$Q$305,MATCH(23,$S$6:$S$305,0)),"")</f>
        <v/>
      </c>
      <c r="I28" s="43" t="str">
        <f>IFERROR(INDEX($R$6:$R$305,MATCH(23,$S$6:$S$305,0)),"")</f>
        <v/>
      </c>
      <c r="K28" s="43">
        <v>23</v>
      </c>
      <c r="L28" s="44" t="str">
        <f>IFERROR(INDEX($T$6:$T$105,MATCH(23,$W$6:$W$105,0)),"")</f>
        <v>Amy Richardson</v>
      </c>
      <c r="M28" s="44" t="str">
        <f>IFERROR(INDEX($U$6:$U$105,MATCH(23,$W$6:$W$105,0)),"")</f>
        <v>Ollie Watkins</v>
      </c>
      <c r="N28" s="43">
        <f>IFERROR(INDEX($V$6:$V$105,MATCH(23,$W$6:$W$105,0)),"")</f>
        <v>0</v>
      </c>
      <c r="P28" t="str">
        <f>IF(OR(B28="",COUNTIF($B$6:$B28,B28)&gt;1),"",B28)</f>
        <v/>
      </c>
      <c r="Q28" t="str">
        <f t="shared" si="0"/>
        <v/>
      </c>
      <c r="R28" t="str">
        <f t="shared" si="1"/>
        <v/>
      </c>
      <c r="S28" t="str">
        <f>IF(P28="","",COUNTIFS($R$6:$R$305,"&gt;"&amp;R28,$P$6:$P$305,"&lt;&gt;")+COUNTIFS($R$6:$R28,"="&amp;R28,$P$6:$P28,"&lt;&gt;"))</f>
        <v/>
      </c>
      <c r="T28" t="str">
        <f>IF(Participants!B27="","",Participants!B27)</f>
        <v>Ben Harper</v>
      </c>
      <c r="U28" t="str">
        <f>IF(Participants!C27="","",Participants!C27)</f>
        <v>Lautaro Martínez</v>
      </c>
      <c r="V28">
        <f t="shared" si="2"/>
        <v>0</v>
      </c>
      <c r="W28">
        <f>IF(T28="","",COUNTIFS($V$6:$V$105,"&gt;"&amp;V28,$T$6:$T$105,"&lt;&gt;")+COUNTIFS($V$6:$V28,"="&amp;V28,$T$6:$T28,"&lt;&gt;"))</f>
        <v>24</v>
      </c>
    </row>
    <row r="29" spans="1:23" x14ac:dyDescent="0.25">
      <c r="A29" s="43"/>
      <c r="B29" s="56"/>
      <c r="C29" s="56"/>
      <c r="D29" s="43"/>
      <c r="F29" s="43">
        <v>24</v>
      </c>
      <c r="G29" s="44" t="str">
        <f>IFERROR(INDEX($P$6:$P$305,MATCH(24,$S$6:$S$305,0)),"")</f>
        <v/>
      </c>
      <c r="H29" s="44" t="str">
        <f>IFERROR(INDEX($Q$6:$Q$305,MATCH(24,$S$6:$S$305,0)),"")</f>
        <v/>
      </c>
      <c r="I29" s="43" t="str">
        <f>IFERROR(INDEX($R$6:$R$305,MATCH(24,$S$6:$S$305,0)),"")</f>
        <v/>
      </c>
      <c r="K29" s="43">
        <v>24</v>
      </c>
      <c r="L29" s="44" t="str">
        <f>IFERROR(INDEX($T$6:$T$105,MATCH(24,$W$6:$W$105,0)),"")</f>
        <v>Ben Harper</v>
      </c>
      <c r="M29" s="44" t="str">
        <f>IFERROR(INDEX($U$6:$U$105,MATCH(24,$W$6:$W$105,0)),"")</f>
        <v>Lautaro Martínez</v>
      </c>
      <c r="N29" s="43">
        <f>IFERROR(INDEX($V$6:$V$105,MATCH(24,$W$6:$W$105,0)),"")</f>
        <v>0</v>
      </c>
      <c r="P29" t="str">
        <f>IF(OR(B29="",COUNTIF($B$6:$B29,B29)&gt;1),"",B29)</f>
        <v/>
      </c>
      <c r="Q29" t="str">
        <f t="shared" si="0"/>
        <v/>
      </c>
      <c r="R29" t="str">
        <f t="shared" si="1"/>
        <v/>
      </c>
      <c r="S29" t="str">
        <f>IF(P29="","",COUNTIFS($R$6:$R$305,"&gt;"&amp;R29,$P$6:$P$305,"&lt;&gt;")+COUNTIFS($R$6:$R29,"="&amp;R29,$P$6:$P29,"&lt;&gt;"))</f>
        <v/>
      </c>
      <c r="T29" t="str">
        <f>IF(Participants!B28="","",Participants!B28)</f>
        <v>Chloe Morgan</v>
      </c>
      <c r="U29" t="str">
        <f>IF(Participants!C28="","",Participants!C28)</f>
        <v>Florian Wirtz</v>
      </c>
      <c r="V29">
        <f t="shared" si="2"/>
        <v>0</v>
      </c>
      <c r="W29">
        <f>IF(T29="","",COUNTIFS($V$6:$V$105,"&gt;"&amp;V29,$T$6:$T$105,"&lt;&gt;")+COUNTIFS($V$6:$V29,"="&amp;V29,$T$6:$T29,"&lt;&gt;"))</f>
        <v>25</v>
      </c>
    </row>
    <row r="30" spans="1:23" x14ac:dyDescent="0.25">
      <c r="A30" s="43"/>
      <c r="B30" s="56"/>
      <c r="C30" s="56"/>
      <c r="D30" s="43"/>
      <c r="F30" s="43">
        <v>25</v>
      </c>
      <c r="G30" s="44" t="str">
        <f>IFERROR(INDEX($P$6:$P$305,MATCH(25,$S$6:$S$305,0)),"")</f>
        <v/>
      </c>
      <c r="H30" s="44" t="str">
        <f>IFERROR(INDEX($Q$6:$Q$305,MATCH(25,$S$6:$S$305,0)),"")</f>
        <v/>
      </c>
      <c r="I30" s="43" t="str">
        <f>IFERROR(INDEX($R$6:$R$305,MATCH(25,$S$6:$S$305,0)),"")</f>
        <v/>
      </c>
      <c r="K30" s="43">
        <v>25</v>
      </c>
      <c r="L30" s="44" t="str">
        <f>IFERROR(INDEX($T$6:$T$105,MATCH(25,$W$6:$W$105,0)),"")</f>
        <v>Chloe Morgan</v>
      </c>
      <c r="M30" s="44" t="str">
        <f>IFERROR(INDEX($U$6:$U$105,MATCH(25,$W$6:$W$105,0)),"")</f>
        <v>Florian Wirtz</v>
      </c>
      <c r="N30" s="43">
        <f>IFERROR(INDEX($V$6:$V$105,MATCH(25,$W$6:$W$105,0)),"")</f>
        <v>0</v>
      </c>
      <c r="P30" t="str">
        <f>IF(OR(B30="",COUNTIF($B$6:$B30,B30)&gt;1),"",B30)</f>
        <v/>
      </c>
      <c r="Q30" t="str">
        <f t="shared" si="0"/>
        <v/>
      </c>
      <c r="R30" t="str">
        <f t="shared" si="1"/>
        <v/>
      </c>
      <c r="S30" t="str">
        <f>IF(P30="","",COUNTIFS($R$6:$R$305,"&gt;"&amp;R30,$P$6:$P$305,"&lt;&gt;")+COUNTIFS($R$6:$R30,"="&amp;R30,$P$6:$P30,"&lt;&gt;"))</f>
        <v/>
      </c>
      <c r="T30" t="str">
        <f>IF(Participants!B29="","",Participants!B29)</f>
        <v>Sam Mitchell</v>
      </c>
      <c r="U30" t="str">
        <f>IF(Participants!C29="","",Participants!C29)</f>
        <v>Son Heung-min</v>
      </c>
      <c r="V30">
        <f t="shared" si="2"/>
        <v>0</v>
      </c>
      <c r="W30">
        <f>IF(T30="","",COUNTIFS($V$6:$V$105,"&gt;"&amp;V30,$T$6:$T$105,"&lt;&gt;")+COUNTIFS($V$6:$V30,"="&amp;V30,$T$6:$T30,"&lt;&gt;"))</f>
        <v>26</v>
      </c>
    </row>
    <row r="31" spans="1:23" x14ac:dyDescent="0.25">
      <c r="A31" s="43"/>
      <c r="B31" s="56"/>
      <c r="C31" s="56"/>
      <c r="D31" s="43"/>
      <c r="F31" s="43">
        <v>26</v>
      </c>
      <c r="G31" s="44" t="str">
        <f>IFERROR(INDEX($P$6:$P$305,MATCH(26,$S$6:$S$305,0)),"")</f>
        <v/>
      </c>
      <c r="H31" s="44" t="str">
        <f>IFERROR(INDEX($Q$6:$Q$305,MATCH(26,$S$6:$S$305,0)),"")</f>
        <v/>
      </c>
      <c r="I31" s="43" t="str">
        <f>IFERROR(INDEX($R$6:$R$305,MATCH(26,$S$6:$S$305,0)),"")</f>
        <v/>
      </c>
      <c r="K31" s="43">
        <v>26</v>
      </c>
      <c r="L31" s="44" t="str">
        <f>IFERROR(INDEX($T$6:$T$105,MATCH(26,$W$6:$W$105,0)),"")</f>
        <v>Sam Mitchell</v>
      </c>
      <c r="M31" s="44" t="str">
        <f>IFERROR(INDEX($U$6:$U$105,MATCH(26,$W$6:$W$105,0)),"")</f>
        <v>Son Heung-min</v>
      </c>
      <c r="N31" s="43">
        <f>IFERROR(INDEX($V$6:$V$105,MATCH(26,$W$6:$W$105,0)),"")</f>
        <v>0</v>
      </c>
      <c r="P31" t="str">
        <f>IF(OR(B31="",COUNTIF($B$6:$B31,B31)&gt;1),"",B31)</f>
        <v/>
      </c>
      <c r="Q31" t="str">
        <f t="shared" si="0"/>
        <v/>
      </c>
      <c r="R31" t="str">
        <f t="shared" si="1"/>
        <v/>
      </c>
      <c r="S31" t="str">
        <f>IF(P31="","",COUNTIFS($R$6:$R$305,"&gt;"&amp;R31,$P$6:$P$305,"&lt;&gt;")+COUNTIFS($R$6:$R31,"="&amp;R31,$P$6:$P31,"&lt;&gt;"))</f>
        <v/>
      </c>
      <c r="T31" t="str">
        <f>IF(Participants!B30="","",Participants!B30)</f>
        <v>Emily Zhang</v>
      </c>
      <c r="U31" t="str">
        <f>IF(Participants!C30="","",Participants!C30)</f>
        <v>Marcus Rashford</v>
      </c>
      <c r="V31">
        <f t="shared" si="2"/>
        <v>0</v>
      </c>
      <c r="W31">
        <f>IF(T31="","",COUNTIFS($V$6:$V$105,"&gt;"&amp;V31,$T$6:$T$105,"&lt;&gt;")+COUNTIFS($V$6:$V31,"="&amp;V31,$T$6:$T31,"&lt;&gt;"))</f>
        <v>27</v>
      </c>
    </row>
    <row r="32" spans="1:23" x14ac:dyDescent="0.25">
      <c r="A32" s="43"/>
      <c r="B32" s="56"/>
      <c r="C32" s="56"/>
      <c r="D32" s="43"/>
      <c r="F32" s="43">
        <v>27</v>
      </c>
      <c r="G32" s="44" t="str">
        <f>IFERROR(INDEX($P$6:$P$305,MATCH(27,$S$6:$S$305,0)),"")</f>
        <v/>
      </c>
      <c r="H32" s="44" t="str">
        <f>IFERROR(INDEX($Q$6:$Q$305,MATCH(27,$S$6:$S$305,0)),"")</f>
        <v/>
      </c>
      <c r="I32" s="43" t="str">
        <f>IFERROR(INDEX($R$6:$R$305,MATCH(27,$S$6:$S$305,0)),"")</f>
        <v/>
      </c>
      <c r="K32" s="43">
        <v>27</v>
      </c>
      <c r="L32" s="44" t="str">
        <f>IFERROR(INDEX($T$6:$T$105,MATCH(27,$W$6:$W$105,0)),"")</f>
        <v>Emily Zhang</v>
      </c>
      <c r="M32" s="44" t="str">
        <f>IFERROR(INDEX($U$6:$U$105,MATCH(27,$W$6:$W$105,0)),"")</f>
        <v>Marcus Rashford</v>
      </c>
      <c r="N32" s="43">
        <f>IFERROR(INDEX($V$6:$V$105,MATCH(27,$W$6:$W$105,0)),"")</f>
        <v>0</v>
      </c>
      <c r="P32" t="str">
        <f>IF(OR(B32="",COUNTIF($B$6:$B32,B32)&gt;1),"",B32)</f>
        <v/>
      </c>
      <c r="Q32" t="str">
        <f t="shared" si="0"/>
        <v/>
      </c>
      <c r="R32" t="str">
        <f t="shared" si="1"/>
        <v/>
      </c>
      <c r="S32" t="str">
        <f>IF(P32="","",COUNTIFS($R$6:$R$305,"&gt;"&amp;R32,$P$6:$P$305,"&lt;&gt;")+COUNTIFS($R$6:$R32,"="&amp;R32,$P$6:$P32,"&lt;&gt;"))</f>
        <v/>
      </c>
      <c r="T32" t="str">
        <f>IF(Participants!B31="","",Participants!B31)</f>
        <v>Jake Turner</v>
      </c>
      <c r="U32" t="str">
        <f>IF(Participants!C31="","",Participants!C31)</f>
        <v>Antoine Griezmann</v>
      </c>
      <c r="V32">
        <f t="shared" si="2"/>
        <v>0</v>
      </c>
      <c r="W32">
        <f>IF(T32="","",COUNTIFS($V$6:$V$105,"&gt;"&amp;V32,$T$6:$T$105,"&lt;&gt;")+COUNTIFS($V$6:$V32,"="&amp;V32,$T$6:$T32,"&lt;&gt;"))</f>
        <v>28</v>
      </c>
    </row>
    <row r="33" spans="1:23" x14ac:dyDescent="0.25">
      <c r="A33" s="43"/>
      <c r="B33" s="56"/>
      <c r="C33" s="56"/>
      <c r="D33" s="43"/>
      <c r="F33" s="43">
        <v>28</v>
      </c>
      <c r="G33" s="44" t="str">
        <f>IFERROR(INDEX($P$6:$P$305,MATCH(28,$S$6:$S$305,0)),"")</f>
        <v/>
      </c>
      <c r="H33" s="44" t="str">
        <f>IFERROR(INDEX($Q$6:$Q$305,MATCH(28,$S$6:$S$305,0)),"")</f>
        <v/>
      </c>
      <c r="I33" s="43" t="str">
        <f>IFERROR(INDEX($R$6:$R$305,MATCH(28,$S$6:$S$305,0)),"")</f>
        <v/>
      </c>
      <c r="K33" s="43">
        <v>28</v>
      </c>
      <c r="L33" s="44" t="str">
        <f>IFERROR(INDEX($T$6:$T$105,MATCH(28,$W$6:$W$105,0)),"")</f>
        <v>Jake Turner</v>
      </c>
      <c r="M33" s="44" t="str">
        <f>IFERROR(INDEX($U$6:$U$105,MATCH(28,$W$6:$W$105,0)),"")</f>
        <v>Antoine Griezmann</v>
      </c>
      <c r="N33" s="43">
        <f>IFERROR(INDEX($V$6:$V$105,MATCH(28,$W$6:$W$105,0)),"")</f>
        <v>0</v>
      </c>
      <c r="P33" t="str">
        <f>IF(OR(B33="",COUNTIF($B$6:$B33,B33)&gt;1),"",B33)</f>
        <v/>
      </c>
      <c r="Q33" t="str">
        <f t="shared" si="0"/>
        <v/>
      </c>
      <c r="R33" t="str">
        <f t="shared" si="1"/>
        <v/>
      </c>
      <c r="S33" t="str">
        <f>IF(P33="","",COUNTIFS($R$6:$R$305,"&gt;"&amp;R33,$P$6:$P$305,"&lt;&gt;")+COUNTIFS($R$6:$R33,"="&amp;R33,$P$6:$P33,"&lt;&gt;"))</f>
        <v/>
      </c>
      <c r="T33" t="str">
        <f>IF(Participants!B32="","",Participants!B32)</f>
        <v>Fiona Campbell</v>
      </c>
      <c r="U33" t="str">
        <f>IF(Participants!C32="","",Participants!C32)</f>
        <v>Serhou Guirassy</v>
      </c>
      <c r="V33">
        <f t="shared" si="2"/>
        <v>0</v>
      </c>
      <c r="W33">
        <f>IF(T33="","",COUNTIFS($V$6:$V$105,"&gt;"&amp;V33,$T$6:$T$105,"&lt;&gt;")+COUNTIFS($V$6:$V33,"="&amp;V33,$T$6:$T33,"&lt;&gt;"))</f>
        <v>29</v>
      </c>
    </row>
    <row r="34" spans="1:23" x14ac:dyDescent="0.25">
      <c r="A34" s="43"/>
      <c r="B34" s="56"/>
      <c r="C34" s="56"/>
      <c r="D34" s="43"/>
      <c r="F34" s="43">
        <v>29</v>
      </c>
      <c r="G34" s="44" t="str">
        <f>IFERROR(INDEX($P$6:$P$305,MATCH(29,$S$6:$S$305,0)),"")</f>
        <v/>
      </c>
      <c r="H34" s="44" t="str">
        <f>IFERROR(INDEX($Q$6:$Q$305,MATCH(29,$S$6:$S$305,0)),"")</f>
        <v/>
      </c>
      <c r="I34" s="43" t="str">
        <f>IFERROR(INDEX($R$6:$R$305,MATCH(29,$S$6:$S$305,0)),"")</f>
        <v/>
      </c>
      <c r="K34" s="43">
        <v>29</v>
      </c>
      <c r="L34" s="44" t="str">
        <f>IFERROR(INDEX($T$6:$T$105,MATCH(29,$W$6:$W$105,0)),"")</f>
        <v>Fiona Campbell</v>
      </c>
      <c r="M34" s="44" t="str">
        <f>IFERROR(INDEX($U$6:$U$105,MATCH(29,$W$6:$W$105,0)),"")</f>
        <v>Serhou Guirassy</v>
      </c>
      <c r="N34" s="43">
        <f>IFERROR(INDEX($V$6:$V$105,MATCH(29,$W$6:$W$105,0)),"")</f>
        <v>0</v>
      </c>
      <c r="P34" t="str">
        <f>IF(OR(B34="",COUNTIF($B$6:$B34,B34)&gt;1),"",B34)</f>
        <v/>
      </c>
      <c r="Q34" t="str">
        <f t="shared" si="0"/>
        <v/>
      </c>
      <c r="R34" t="str">
        <f t="shared" si="1"/>
        <v/>
      </c>
      <c r="S34" t="str">
        <f>IF(P34="","",COUNTIFS($R$6:$R$305,"&gt;"&amp;R34,$P$6:$P$305,"&lt;&gt;")+COUNTIFS($R$6:$R34,"="&amp;R34,$P$6:$P34,"&lt;&gt;"))</f>
        <v/>
      </c>
      <c r="T34" t="str">
        <f>IF(Participants!B33="","",Participants!B33)</f>
        <v>Alex Patel</v>
      </c>
      <c r="U34" t="str">
        <f>IF(Participants!C33="","",Participants!C33)</f>
        <v>Álvaro Morata</v>
      </c>
      <c r="V34">
        <f t="shared" si="2"/>
        <v>0</v>
      </c>
      <c r="W34">
        <f>IF(T34="","",COUNTIFS($V$6:$V$105,"&gt;"&amp;V34,$T$6:$T$105,"&lt;&gt;")+COUNTIFS($V$6:$V34,"="&amp;V34,$T$6:$T34,"&lt;&gt;"))</f>
        <v>30</v>
      </c>
    </row>
    <row r="35" spans="1:23" x14ac:dyDescent="0.25">
      <c r="A35" s="43"/>
      <c r="B35" s="56"/>
      <c r="C35" s="56"/>
      <c r="D35" s="43"/>
      <c r="F35" s="43">
        <v>30</v>
      </c>
      <c r="G35" s="44" t="str">
        <f>IFERROR(INDEX($P$6:$P$305,MATCH(30,$S$6:$S$305,0)),"")</f>
        <v/>
      </c>
      <c r="H35" s="44" t="str">
        <f>IFERROR(INDEX($Q$6:$Q$305,MATCH(30,$S$6:$S$305,0)),"")</f>
        <v/>
      </c>
      <c r="I35" s="43" t="str">
        <f>IFERROR(INDEX($R$6:$R$305,MATCH(30,$S$6:$S$305,0)),"")</f>
        <v/>
      </c>
      <c r="K35" s="43">
        <v>30</v>
      </c>
      <c r="L35" s="44" t="str">
        <f>IFERROR(INDEX($T$6:$T$105,MATCH(30,$W$6:$W$105,0)),"")</f>
        <v>Alex Patel</v>
      </c>
      <c r="M35" s="44" t="str">
        <f>IFERROR(INDEX($U$6:$U$105,MATCH(30,$W$6:$W$105,0)),"")</f>
        <v>Álvaro Morata</v>
      </c>
      <c r="N35" s="43">
        <f>IFERROR(INDEX($V$6:$V$105,MATCH(30,$W$6:$W$105,0)),"")</f>
        <v>0</v>
      </c>
      <c r="P35" t="str">
        <f>IF(OR(B35="",COUNTIF($B$6:$B35,B35)&gt;1),"",B35)</f>
        <v/>
      </c>
      <c r="Q35" t="str">
        <f t="shared" si="0"/>
        <v/>
      </c>
      <c r="R35" t="str">
        <f t="shared" si="1"/>
        <v/>
      </c>
      <c r="S35" t="str">
        <f>IF(P35="","",COUNTIFS($R$6:$R$305,"&gt;"&amp;R35,$P$6:$P$305,"&lt;&gt;")+COUNTIFS($R$6:$R35,"="&amp;R35,$P$6:$P35,"&lt;&gt;"))</f>
        <v/>
      </c>
      <c r="T35" t="str">
        <f>IF(Participants!B34="","",Participants!B34)</f>
        <v>Grace Murphy</v>
      </c>
      <c r="U35" t="str">
        <f>IF(Participants!C34="","",Participants!C34)</f>
        <v>Ademola Lookman</v>
      </c>
      <c r="V35">
        <f t="shared" si="2"/>
        <v>0</v>
      </c>
      <c r="W35">
        <f>IF(T35="","",COUNTIFS($V$6:$V$105,"&gt;"&amp;V35,$T$6:$T$105,"&lt;&gt;")+COUNTIFS($V$6:$V35,"="&amp;V35,$T$6:$T35,"&lt;&gt;"))</f>
        <v>31</v>
      </c>
    </row>
    <row r="36" spans="1:23" x14ac:dyDescent="0.25">
      <c r="A36" s="43"/>
      <c r="B36" s="56"/>
      <c r="C36" s="56"/>
      <c r="D36" s="43"/>
      <c r="K36" s="43">
        <v>31</v>
      </c>
      <c r="L36" s="44" t="str">
        <f>IFERROR(INDEX($T$6:$T$105,MATCH(31,$W$6:$W$105,0)),"")</f>
        <v>Grace Murphy</v>
      </c>
      <c r="M36" s="44" t="str">
        <f>IFERROR(INDEX($U$6:$U$105,MATCH(31,$W$6:$W$105,0)),"")</f>
        <v>Ademola Lookman</v>
      </c>
      <c r="N36" s="43">
        <f>IFERROR(INDEX($V$6:$V$105,MATCH(31,$W$6:$W$105,0)),"")</f>
        <v>0</v>
      </c>
      <c r="P36" t="str">
        <f>IF(OR(B36="",COUNTIF($B$6:$B36,B36)&gt;1),"",B36)</f>
        <v/>
      </c>
      <c r="Q36" t="str">
        <f t="shared" si="0"/>
        <v/>
      </c>
      <c r="R36" t="str">
        <f t="shared" si="1"/>
        <v/>
      </c>
      <c r="S36" t="str">
        <f>IF(P36="","",COUNTIFS($R$6:$R$305,"&gt;"&amp;R36,$P$6:$P$305,"&lt;&gt;")+COUNTIFS($R$6:$R36,"="&amp;R36,$P$6:$P36,"&lt;&gt;"))</f>
        <v/>
      </c>
      <c r="T36" t="str">
        <f>IF(Participants!B35="","",Participants!B35)</f>
        <v>Owen Phillips</v>
      </c>
      <c r="U36" t="str">
        <f>IF(Participants!C35="","",Participants!C35)</f>
        <v>Jonathan David</v>
      </c>
      <c r="V36">
        <f t="shared" si="2"/>
        <v>0</v>
      </c>
      <c r="W36">
        <f>IF(T36="","",COUNTIFS($V$6:$V$105,"&gt;"&amp;V36,$T$6:$T$105,"&lt;&gt;")+COUNTIFS($V$6:$V36,"="&amp;V36,$T$6:$T36,"&lt;&gt;"))</f>
        <v>32</v>
      </c>
    </row>
    <row r="37" spans="1:23" x14ac:dyDescent="0.25">
      <c r="A37" s="43"/>
      <c r="B37" s="56"/>
      <c r="C37" s="56"/>
      <c r="D37" s="43"/>
      <c r="K37" s="43">
        <v>32</v>
      </c>
      <c r="L37" s="44" t="str">
        <f>IFERROR(INDEX($T$6:$T$105,MATCH(32,$W$6:$W$105,0)),"")</f>
        <v>Owen Phillips</v>
      </c>
      <c r="M37" s="44" t="str">
        <f>IFERROR(INDEX($U$6:$U$105,MATCH(32,$W$6:$W$105,0)),"")</f>
        <v>Jonathan David</v>
      </c>
      <c r="N37" s="43">
        <f>IFERROR(INDEX($V$6:$V$105,MATCH(32,$W$6:$W$105,0)),"")</f>
        <v>0</v>
      </c>
      <c r="P37" t="str">
        <f>IF(OR(B37="",COUNTIF($B$6:$B37,B37)&gt;1),"",B37)</f>
        <v/>
      </c>
      <c r="Q37" t="str">
        <f t="shared" si="0"/>
        <v/>
      </c>
      <c r="R37" t="str">
        <f t="shared" si="1"/>
        <v/>
      </c>
      <c r="S37" t="str">
        <f>IF(P37="","",COUNTIFS($R$6:$R$305,"&gt;"&amp;R37,$P$6:$P$305,"&lt;&gt;")+COUNTIFS($R$6:$R37,"="&amp;R37,$P$6:$P37,"&lt;&gt;"))</f>
        <v/>
      </c>
      <c r="T37" t="str">
        <f>IF(Participants!B36="","",Participants!B36)</f>
        <v>Zoe Carter</v>
      </c>
      <c r="U37" t="str">
        <f>IF(Participants!C36="","",Participants!C36)</f>
        <v>Luis Díaz</v>
      </c>
      <c r="V37">
        <f t="shared" si="2"/>
        <v>0</v>
      </c>
      <c r="W37">
        <f>IF(T37="","",COUNTIFS($V$6:$V$105,"&gt;"&amp;V37,$T$6:$T$105,"&lt;&gt;")+COUNTIFS($V$6:$V37,"="&amp;V37,$T$6:$T37,"&lt;&gt;"))</f>
        <v>33</v>
      </c>
    </row>
    <row r="38" spans="1:23" x14ac:dyDescent="0.25">
      <c r="A38" s="43"/>
      <c r="B38" s="56"/>
      <c r="C38" s="56"/>
      <c r="D38" s="43"/>
      <c r="K38" s="43">
        <v>33</v>
      </c>
      <c r="L38" s="44" t="str">
        <f>IFERROR(INDEX($T$6:$T$105,MATCH(33,$W$6:$W$105,0)),"")</f>
        <v>Zoe Carter</v>
      </c>
      <c r="M38" s="44" t="str">
        <f>IFERROR(INDEX($U$6:$U$105,MATCH(33,$W$6:$W$105,0)),"")</f>
        <v>Luis Díaz</v>
      </c>
      <c r="N38" s="43">
        <f>IFERROR(INDEX($V$6:$V$105,MATCH(33,$W$6:$W$105,0)),"")</f>
        <v>0</v>
      </c>
      <c r="P38" t="str">
        <f>IF(OR(B38="",COUNTIF($B$6:$B38,B38)&gt;1),"",B38)</f>
        <v/>
      </c>
      <c r="Q38" t="str">
        <f t="shared" si="0"/>
        <v/>
      </c>
      <c r="R38" t="str">
        <f t="shared" si="1"/>
        <v/>
      </c>
      <c r="S38" t="str">
        <f>IF(P38="","",COUNTIFS($R$6:$R$305,"&gt;"&amp;R38,$P$6:$P$305,"&lt;&gt;")+COUNTIFS($R$6:$R38,"="&amp;R38,$P$6:$P38,"&lt;&gt;"))</f>
        <v/>
      </c>
      <c r="T38" t="str">
        <f>IF(Participants!B37="","",Participants!B37)</f>
        <v>Liam Hughes</v>
      </c>
      <c r="U38" t="str">
        <f>IF(Participants!C37="","",Participants!C37)</f>
        <v>Memphis Depay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34</v>
      </c>
    </row>
    <row r="39" spans="1:23" x14ac:dyDescent="0.25">
      <c r="A39" s="43"/>
      <c r="B39" s="56"/>
      <c r="C39" s="56"/>
      <c r="D39" s="43"/>
      <c r="K39" s="43">
        <v>34</v>
      </c>
      <c r="L39" s="44" t="str">
        <f>IFERROR(INDEX($T$6:$T$105,MATCH(34,$W$6:$W$105,0)),"")</f>
        <v>Liam Hughes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Isabella Ross</v>
      </c>
      <c r="U39" t="str">
        <f>IF(Participants!C38="","",Participants!C38)</f>
        <v>Nicolas Jackson</v>
      </c>
      <c r="V39">
        <f t="shared" si="3"/>
        <v>0</v>
      </c>
      <c r="W39">
        <f>IF(T39="","",COUNTIFS($V$6:$V$105,"&gt;"&amp;V39,$T$6:$T$105,"&lt;&gt;")+COUNTIFS($V$6:$V39,"="&amp;V39,$T$6:$T39,"&lt;&gt;"))</f>
        <v>35</v>
      </c>
    </row>
    <row r="40" spans="1:23" x14ac:dyDescent="0.25">
      <c r="A40" s="43"/>
      <c r="B40" s="56"/>
      <c r="C40" s="56"/>
      <c r="D40" s="43"/>
      <c r="K40" s="43">
        <v>35</v>
      </c>
      <c r="L40" s="44" t="str">
        <f>IFERROR(INDEX($T$6:$T$105,MATCH(35,$W$6:$W$105,0)),"")</f>
        <v>Isabella Ross</v>
      </c>
      <c r="M40" s="44" t="str">
        <f>IFERROR(INDEX($U$6:$U$105,MATCH(35,$W$6:$W$105,0)),"")</f>
        <v>Nicolas Jackson</v>
      </c>
      <c r="N40" s="43">
        <f>IFERROR(INDEX($V$6:$V$105,MATCH(35,$W$6:$W$105,0)),"")</f>
        <v>0</v>
      </c>
      <c r="P40" t="str">
        <f>IF(OR(B40="",COUNTIF($B$6:$B40,B40)&gt;1),"",B40)</f>
        <v/>
      </c>
      <c r="Q40" t="str">
        <f t="shared" si="0"/>
        <v/>
      </c>
      <c r="R40" t="str">
        <f t="shared" si="1"/>
        <v/>
      </c>
      <c r="S40" t="str">
        <f>IF(P40="","",COUNTIFS($R$6:$R$305,"&gt;"&amp;R40,$P$6:$P$305,"&lt;&gt;")+COUNTIFS($R$6:$R40,"="&amp;R40,$P$6:$P40,"&lt;&gt;"))</f>
        <v/>
      </c>
      <c r="T40" t="str">
        <f>IF(Participants!B39="","",Participants!B39)</f>
        <v>Ethan Wright</v>
      </c>
      <c r="U40" t="str">
        <f>IF(Participants!C39="","",Participants!C39)</f>
        <v>Islam Slimani</v>
      </c>
      <c r="V40">
        <f t="shared" si="3"/>
        <v>0</v>
      </c>
      <c r="W40">
        <f>IF(T40="","",COUNTIFS($V$6:$V$105,"&gt;"&amp;V40,$T$6:$T$105,"&lt;&gt;")+COUNTIFS($V$6:$V40,"="&amp;V40,$T$6:$T40,"&lt;&gt;"))</f>
        <v>36</v>
      </c>
    </row>
    <row r="41" spans="1:23" x14ac:dyDescent="0.25">
      <c r="A41" s="43"/>
      <c r="B41" s="56"/>
      <c r="C41" s="56"/>
      <c r="D41" s="43"/>
      <c r="K41" s="43">
        <v>36</v>
      </c>
      <c r="L41" s="44" t="str">
        <f>IFERROR(INDEX($T$6:$T$105,MATCH(36,$W$6:$W$105,0)),"")</f>
        <v>Ethan Wright</v>
      </c>
      <c r="M41" s="44" t="str">
        <f>IFERROR(INDEX($U$6:$U$105,MATCH(36,$W$6:$W$105,0)),"")</f>
        <v>Islam Slimani</v>
      </c>
      <c r="N41" s="43">
        <f>IFERROR(INDEX($V$6:$V$105,MATCH(36,$W$6:$W$105,0)),"")</f>
        <v>0</v>
      </c>
      <c r="P41" t="str">
        <f>IF(OR(B41="",COUNTIF($B$6:$B41,B41)&gt;1),"",B41)</f>
        <v/>
      </c>
      <c r="Q41" t="str">
        <f t="shared" si="0"/>
        <v/>
      </c>
      <c r="R41" t="str">
        <f t="shared" si="1"/>
        <v/>
      </c>
      <c r="S41" t="str">
        <f>IF(P41="","",COUNTIFS($R$6:$R$305,"&gt;"&amp;R41,$P$6:$P$305,"&lt;&gt;")+COUNTIFS($R$6:$R41,"="&amp;R41,$P$6:$P41,"&lt;&gt;"))</f>
        <v/>
      </c>
      <c r="T41" t="str">
        <f>IF(Participants!B40="","",Participants!B40)</f>
        <v>Charlotte King</v>
      </c>
      <c r="U41" t="str">
        <f>IF(Participants!C40="","",Participants!C40)</f>
        <v>Mehdi Taremi</v>
      </c>
      <c r="V41">
        <f t="shared" si="3"/>
        <v>0</v>
      </c>
      <c r="W41">
        <f>IF(T41="","",COUNTIFS($V$6:$V$105,"&gt;"&amp;V41,$T$6:$T$105,"&lt;&gt;")+COUNTIFS($V$6:$V41,"="&amp;V41,$T$6:$T41,"&lt;&gt;"))</f>
        <v>37</v>
      </c>
    </row>
    <row r="42" spans="1:23" x14ac:dyDescent="0.25">
      <c r="A42" s="43"/>
      <c r="B42" s="56"/>
      <c r="C42" s="56"/>
      <c r="D42" s="43"/>
      <c r="K42" s="43">
        <v>37</v>
      </c>
      <c r="L42" s="44" t="str">
        <f>IFERROR(INDEX($T$6:$T$105,MATCH(37,$W$6:$W$105,0)),"")</f>
        <v>Charlotte King</v>
      </c>
      <c r="M42" s="44" t="str">
        <f>IFERROR(INDEX($U$6:$U$105,MATCH(37,$W$6:$W$105,0)),"")</f>
        <v>Mehdi Taremi</v>
      </c>
      <c r="N42" s="43">
        <f>IFERROR(INDEX($V$6:$V$105,MATCH(37,$W$6:$W$105,0)),"")</f>
        <v>0</v>
      </c>
      <c r="P42" t="str">
        <f>IF(OR(B42="",COUNTIF($B$6:$B42,B42)&gt;1),"",B42)</f>
        <v/>
      </c>
      <c r="Q42" t="str">
        <f t="shared" si="0"/>
        <v/>
      </c>
      <c r="R42" t="str">
        <f t="shared" si="1"/>
        <v/>
      </c>
      <c r="S42" t="str">
        <f>IF(P42="","",COUNTIFS($R$6:$R$305,"&gt;"&amp;R42,$P$6:$P$305,"&lt;&gt;")+COUNTIFS($R$6:$R42,"="&amp;R42,$P$6:$P42,"&lt;&gt;"))</f>
        <v/>
      </c>
      <c r="T42" t="str">
        <f>IF(Participants!B41="","",Participants!B41)</f>
        <v>Josh Evans</v>
      </c>
      <c r="U42" t="str">
        <f>IF(Participants!C41="","",Participants!C41)</f>
        <v>Rafael Leão</v>
      </c>
      <c r="V42">
        <f t="shared" si="3"/>
        <v>0</v>
      </c>
      <c r="W42">
        <f>IF(T42="","",COUNTIFS($V$6:$V$105,"&gt;"&amp;V42,$T$6:$T$105,"&lt;&gt;")+COUNTIFS($V$6:$V42,"="&amp;V42,$T$6:$T42,"&lt;&gt;"))</f>
        <v>38</v>
      </c>
    </row>
    <row r="43" spans="1:23" x14ac:dyDescent="0.25">
      <c r="A43" s="43"/>
      <c r="B43" s="56"/>
      <c r="C43" s="56"/>
      <c r="D43" s="43"/>
      <c r="K43" s="43">
        <v>38</v>
      </c>
      <c r="L43" s="44" t="str">
        <f>IFERROR(INDEX($T$6:$T$105,MATCH(38,$W$6:$W$105,0)),"")</f>
        <v>Josh Evans</v>
      </c>
      <c r="M43" s="44" t="str">
        <f>IFERROR(INDEX($U$6:$U$105,MATCH(38,$W$6:$W$105,0)),"")</f>
        <v>Rafael Leão</v>
      </c>
      <c r="N43" s="43">
        <f>IFERROR(INDEX($V$6:$V$105,MATCH(38,$W$6:$W$105,0)),"")</f>
        <v>0</v>
      </c>
      <c r="P43" t="str">
        <f>IF(OR(B43="",COUNTIF($B$6:$B43,B43)&gt;1),"",B43)</f>
        <v/>
      </c>
      <c r="Q43" t="str">
        <f t="shared" si="0"/>
        <v/>
      </c>
      <c r="R43" t="str">
        <f t="shared" si="1"/>
        <v/>
      </c>
      <c r="S43" t="str">
        <f>IF(P43="","",COUNTIFS($R$6:$R$305,"&gt;"&amp;R43,$P$6:$P$305,"&lt;&gt;")+COUNTIFS($R$6:$R43,"="&amp;R43,$P$6:$P43,"&lt;&gt;"))</f>
        <v/>
      </c>
      <c r="T43" t="str">
        <f>IF(Participants!B42="","",Participants!B42)</f>
        <v>Katie Adams</v>
      </c>
      <c r="U43" t="str">
        <f>IF(Participants!C42="","",Participants!C42)</f>
        <v>Artem Dovbyk</v>
      </c>
      <c r="V43">
        <f t="shared" si="3"/>
        <v>0</v>
      </c>
      <c r="W43">
        <f>IF(T43="","",COUNTIFS($V$6:$V$105,"&gt;"&amp;V43,$T$6:$T$105,"&lt;&gt;")+COUNTIFS($V$6:$V43,"="&amp;V43,$T$6:$T43,"&lt;&gt;"))</f>
        <v>39</v>
      </c>
    </row>
    <row r="44" spans="1:23" x14ac:dyDescent="0.25">
      <c r="A44" s="43"/>
      <c r="B44" s="56"/>
      <c r="C44" s="56"/>
      <c r="D44" s="43"/>
      <c r="K44" s="43">
        <v>39</v>
      </c>
      <c r="L44" s="44" t="str">
        <f>IFERROR(INDEX($T$6:$T$105,MATCH(39,$W$6:$W$105,0)),"")</f>
        <v>Katie Adams</v>
      </c>
      <c r="M44" s="44" t="str">
        <f>IFERROR(INDEX($U$6:$U$105,MATCH(39,$W$6:$W$105,0)),"")</f>
        <v>Artem Dovbyk</v>
      </c>
      <c r="N44" s="43">
        <f>IFERROR(INDEX($V$6:$V$105,MATCH(39,$W$6:$W$105,0)),"")</f>
        <v>0</v>
      </c>
      <c r="P44" t="str">
        <f>IF(OR(B44="",COUNTIF($B$6:$B44,B44)&gt;1),"",B44)</f>
        <v/>
      </c>
      <c r="Q44" t="str">
        <f t="shared" si="0"/>
        <v/>
      </c>
      <c r="R44" t="str">
        <f t="shared" si="1"/>
        <v/>
      </c>
      <c r="S44" t="str">
        <f>IF(P44="","",COUNTIFS($R$6:$R$305,"&gt;"&amp;R44,$P$6:$P$305,"&lt;&gt;")+COUNTIFS($R$6:$R44,"="&amp;R44,$P$6:$P44,"&lt;&gt;"))</f>
        <v/>
      </c>
      <c r="T44" t="str">
        <f>IF(Participants!B43="","",Participants!B43)</f>
        <v>Will Jackson</v>
      </c>
      <c r="U44" t="str">
        <f>IF(Participants!C43="","",Participants!C43)</f>
        <v>Viktor Gyökeres</v>
      </c>
      <c r="V44">
        <f t="shared" si="3"/>
        <v>0</v>
      </c>
      <c r="W44">
        <f>IF(T44="","",COUNTIFS($V$6:$V$105,"&gt;"&amp;V44,$T$6:$T$105,"&lt;&gt;")+COUNTIFS($V$6:$V44,"="&amp;V44,$T$6:$T44,"&lt;&gt;"))</f>
        <v>40</v>
      </c>
    </row>
    <row r="45" spans="1:23" x14ac:dyDescent="0.25">
      <c r="A45" s="43"/>
      <c r="B45" s="56"/>
      <c r="C45" s="56"/>
      <c r="D45" s="43"/>
      <c r="K45" s="43">
        <v>40</v>
      </c>
      <c r="L45" s="44" t="str">
        <f>IFERROR(INDEX($T$6:$T$105,MATCH(40,$W$6:$W$105,0)),"")</f>
        <v>Will Jackson</v>
      </c>
      <c r="M45" s="44" t="str">
        <f>IFERROR(INDEX($U$6:$U$105,MATCH(40,$W$6:$W$105,0)),"")</f>
        <v>Viktor Gyökeres</v>
      </c>
      <c r="N45" s="43">
        <f>IFERROR(INDEX($V$6:$V$105,MATCH(40,$W$6:$W$105,0)),"")</f>
        <v>0</v>
      </c>
      <c r="P45" t="str">
        <f>IF(OR(B45="",COUNTIF($B$6:$B45,B45)&gt;1),"",B45)</f>
        <v/>
      </c>
      <c r="Q45" t="str">
        <f t="shared" si="0"/>
        <v/>
      </c>
      <c r="R45" t="str">
        <f t="shared" si="1"/>
        <v/>
      </c>
      <c r="S45" t="str">
        <f>IF(P45="","",COUNTIFS($R$6:$R$305,"&gt;"&amp;R45,$P$6:$P$305,"&lt;&gt;")+COUNTIFS($R$6:$R45,"="&amp;R45,$P$6:$P45,"&lt;&gt;"))</f>
        <v/>
      </c>
      <c r="T45" t="str">
        <f>IF(Participants!B44="","",Participants!B44)</f>
        <v>Natalie Green</v>
      </c>
      <c r="U45" t="str">
        <f>IF(Participants!C44="","",Participants!C44)</f>
        <v>Matheus Cunha</v>
      </c>
      <c r="V45">
        <f t="shared" si="3"/>
        <v>0</v>
      </c>
      <c r="W45">
        <f>IF(T45="","",COUNTIFS($V$6:$V$105,"&gt;"&amp;V45,$T$6:$T$105,"&lt;&gt;")+COUNTIFS($V$6:$V45,"="&amp;V45,$T$6:$T45,"&lt;&gt;"))</f>
        <v>41</v>
      </c>
    </row>
    <row r="46" spans="1:23" x14ac:dyDescent="0.25">
      <c r="A46" s="43"/>
      <c r="B46" s="56"/>
      <c r="C46" s="56"/>
      <c r="D46" s="43"/>
      <c r="K46" s="43">
        <v>41</v>
      </c>
      <c r="L46" s="44" t="str">
        <f>IFERROR(INDEX($T$6:$T$105,MATCH(41,$W$6:$W$105,0)),"")</f>
        <v>Natalie Green</v>
      </c>
      <c r="M46" s="44" t="str">
        <f>IFERROR(INDEX($U$6:$U$105,MATCH(41,$W$6:$W$105,0)),"")</f>
        <v>Matheus Cunha</v>
      </c>
      <c r="N46" s="43">
        <f>IFERROR(INDEX($V$6:$V$105,MATCH(41,$W$6:$W$105,0)),"")</f>
        <v>0</v>
      </c>
      <c r="P46" t="str">
        <f>IF(OR(B46="",COUNTIF($B$6:$B46,B46)&gt;1),"",B46)</f>
        <v/>
      </c>
      <c r="Q46" t="str">
        <f t="shared" si="0"/>
        <v/>
      </c>
      <c r="R46" t="str">
        <f t="shared" si="1"/>
        <v/>
      </c>
      <c r="S46" t="str">
        <f>IF(P46="","",COUNTIFS($R$6:$R$305,"&gt;"&amp;R46,$P$6:$P$305,"&lt;&gt;")+COUNTIFS($R$6:$R46,"="&amp;R46,$P$6:$P46,"&lt;&gt;"))</f>
        <v/>
      </c>
      <c r="T46" t="str">
        <f>IF(Participants!B45="","",Participants!B45)</f>
        <v>Harry Cooper</v>
      </c>
      <c r="U46" t="str">
        <f>IF(Participants!C45="","",Participants!C45)</f>
        <v>Saleh Al-Shehri</v>
      </c>
      <c r="V46">
        <f t="shared" si="3"/>
        <v>0</v>
      </c>
      <c r="W46">
        <f>IF(T46="","",COUNTIFS($V$6:$V$105,"&gt;"&amp;V46,$T$6:$T$105,"&lt;&gt;")+COUNTIFS($V$6:$V46,"="&amp;V46,$T$6:$T46,"&lt;&gt;"))</f>
        <v>42</v>
      </c>
    </row>
    <row r="47" spans="1:23" x14ac:dyDescent="0.25">
      <c r="A47" s="43"/>
      <c r="B47" s="56"/>
      <c r="C47" s="56"/>
      <c r="D47" s="43"/>
      <c r="K47" s="43">
        <v>42</v>
      </c>
      <c r="L47" s="44" t="str">
        <f>IFERROR(INDEX($T$6:$T$105,MATCH(42,$W$6:$W$105,0)),"")</f>
        <v>Harry Cooper</v>
      </c>
      <c r="M47" s="44" t="str">
        <f>IFERROR(INDEX($U$6:$U$105,MATCH(42,$W$6:$W$105,0)),"")</f>
        <v>Saleh Al-Shehri</v>
      </c>
      <c r="N47" s="43">
        <f>IFERROR(INDEX($V$6:$V$105,MATCH(42,$W$6:$W$105,0)),"")</f>
        <v>0</v>
      </c>
      <c r="P47" t="str">
        <f>IF(OR(B47="",COUNTIF($B$6:$B47,B47)&gt;1),"",B47)</f>
        <v/>
      </c>
      <c r="Q47" t="str">
        <f t="shared" si="0"/>
        <v/>
      </c>
      <c r="R47" t="str">
        <f t="shared" si="1"/>
        <v/>
      </c>
      <c r="S47" t="str">
        <f>IF(P47="","",COUNTIFS($R$6:$R$305,"&gt;"&amp;R47,$P$6:$P$305,"&lt;&gt;")+COUNTIFS($R$6:$R47,"="&amp;R47,$P$6:$P47,"&lt;&gt;"))</f>
        <v/>
      </c>
      <c r="T47" t="str">
        <f>IF(Participants!B46="","",Participants!B46)</f>
        <v>Rebecca Hall</v>
      </c>
      <c r="U47" t="str">
        <f>IF(Participants!C46="","",Participants!C46)</f>
        <v>Sadio Mané</v>
      </c>
      <c r="V47">
        <f t="shared" si="3"/>
        <v>0</v>
      </c>
      <c r="W47">
        <f>IF(T47="","",COUNTIFS($V$6:$V$105,"&gt;"&amp;V47,$T$6:$T$105,"&lt;&gt;")+COUNTIFS($V$6:$V47,"="&amp;V47,$T$6:$T47,"&lt;&gt;"))</f>
        <v>43</v>
      </c>
    </row>
    <row r="48" spans="1:23" x14ac:dyDescent="0.25">
      <c r="A48" s="43"/>
      <c r="B48" s="56"/>
      <c r="C48" s="56"/>
      <c r="D48" s="43"/>
      <c r="K48" s="43">
        <v>43</v>
      </c>
      <c r="L48" s="44" t="str">
        <f>IFERROR(INDEX($T$6:$T$105,MATCH(43,$W$6:$W$105,0)),"")</f>
        <v>Rebecca Hall</v>
      </c>
      <c r="M48" s="44" t="str">
        <f>IFERROR(INDEX($U$6:$U$105,MATCH(43,$W$6:$W$105,0)),"")</f>
        <v>Sadio Mané</v>
      </c>
      <c r="N48" s="43">
        <f>IFERROR(INDEX($V$6:$V$105,MATCH(43,$W$6:$W$105,0)),"")</f>
        <v>0</v>
      </c>
      <c r="P48" t="str">
        <f>IF(OR(B48="",COUNTIF($B$6:$B48,B48)&gt;1),"",B48)</f>
        <v/>
      </c>
      <c r="Q48" t="str">
        <f t="shared" si="0"/>
        <v/>
      </c>
      <c r="R48" t="str">
        <f t="shared" si="1"/>
        <v/>
      </c>
      <c r="S48" t="str">
        <f>IF(P48="","",COUNTIFS($R$6:$R$305,"&gt;"&amp;R48,$P$6:$P$305,"&lt;&gt;")+COUNTIFS($R$6:$R48,"="&amp;R48,$P$6:$P48,"&lt;&gt;"))</f>
        <v/>
      </c>
      <c r="T48" t="str">
        <f>IF(Participants!B47="","",Participants!B47)</f>
        <v>Finn O'Sullivan</v>
      </c>
      <c r="U48" t="str">
        <f>IF(Participants!C47="","",Participants!C47)</f>
        <v>Achraf Hakimi</v>
      </c>
      <c r="V48">
        <f t="shared" si="3"/>
        <v>0</v>
      </c>
      <c r="W48">
        <f>IF(T48="","",COUNTIFS($V$6:$V$105,"&gt;"&amp;V48,$T$6:$T$105,"&lt;&gt;")+COUNTIFS($V$6:$V48,"="&amp;V48,$T$6:$T48,"&lt;&gt;"))</f>
        <v>44</v>
      </c>
    </row>
    <row r="49" spans="1:23" x14ac:dyDescent="0.25">
      <c r="A49" s="43"/>
      <c r="B49" s="56"/>
      <c r="C49" s="56"/>
      <c r="D49" s="43"/>
      <c r="K49" s="43">
        <v>44</v>
      </c>
      <c r="L49" s="44" t="str">
        <f>IFERROR(INDEX($T$6:$T$105,MATCH(44,$W$6:$W$105,0)),"")</f>
        <v>Finn O'Sullivan</v>
      </c>
      <c r="M49" s="44" t="str">
        <f>IFERROR(INDEX($U$6:$U$105,MATCH(44,$W$6:$W$105,0)),"")</f>
        <v>Achraf Hakimi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Ella Dixon</v>
      </c>
      <c r="U49" t="str">
        <f>IF(Participants!C48="","",Participants!C48)</f>
        <v>Bryan Mbeumo</v>
      </c>
      <c r="V49">
        <f t="shared" si="3"/>
        <v>0</v>
      </c>
      <c r="W49">
        <f>IF(T49="","",COUNTIFS($V$6:$V$105,"&gt;"&amp;V49,$T$6:$T$105,"&lt;&gt;")+COUNTIFS($V$6:$V49,"="&amp;V49,$T$6:$T49,"&lt;&gt;"))</f>
        <v>45</v>
      </c>
    </row>
    <row r="50" spans="1:23" x14ac:dyDescent="0.25">
      <c r="A50" s="43"/>
      <c r="B50" s="56"/>
      <c r="C50" s="56"/>
      <c r="D50" s="43"/>
      <c r="K50" s="43">
        <v>45</v>
      </c>
      <c r="L50" s="44" t="str">
        <f>IFERROR(INDEX($T$6:$T$105,MATCH(45,$W$6:$W$105,0)),"")</f>
        <v>Ella Dixon</v>
      </c>
      <c r="M50" s="44" t="str">
        <f>IFERROR(INDEX($U$6:$U$105,MATCH(45,$W$6:$W$105,0)),"")</f>
        <v>Bryan Mbeumo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Patrick Ward</v>
      </c>
      <c r="U50" t="str">
        <f>IF(Participants!C49="","",Participants!C49)</f>
        <v>Amine Harit</v>
      </c>
      <c r="V50">
        <f t="shared" si="3"/>
        <v>0</v>
      </c>
      <c r="W50">
        <f>IF(T50="","",COUNTIFS($V$6:$V$105,"&gt;"&amp;V50,$T$6:$T$105,"&lt;&gt;")+COUNTIFS($V$6:$V50,"="&amp;V50,$T$6:$T50,"&lt;&gt;"))</f>
        <v>46</v>
      </c>
    </row>
    <row r="51" spans="1:23" x14ac:dyDescent="0.25">
      <c r="A51" s="43"/>
      <c r="B51" s="56"/>
      <c r="C51" s="56"/>
      <c r="D51" s="43"/>
      <c r="K51" s="43">
        <v>46</v>
      </c>
      <c r="L51" s="44" t="str">
        <f>IFERROR(INDEX($T$6:$T$105,MATCH(46,$W$6:$W$105,0)),"")</f>
        <v>Patrick Ward</v>
      </c>
      <c r="M51" s="44" t="str">
        <f>IFERROR(INDEX($U$6:$U$105,MATCH(46,$W$6:$W$105,0)),"")</f>
        <v>Amine Harit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Amber Long</v>
      </c>
      <c r="U51" t="str">
        <f>IF(Participants!C50="","",Participants!C50)</f>
        <v>Tim Weah</v>
      </c>
      <c r="V51">
        <f t="shared" si="3"/>
        <v>0</v>
      </c>
      <c r="W51">
        <f>IF(T51="","",COUNTIFS($V$6:$V$105,"&gt;"&amp;V51,$T$6:$T$105,"&lt;&gt;")+COUNTIFS($V$6:$V51,"="&amp;V51,$T$6:$T51,"&lt;&gt;"))</f>
        <v>47</v>
      </c>
    </row>
    <row r="52" spans="1:23" x14ac:dyDescent="0.25">
      <c r="A52" s="43"/>
      <c r="B52" s="56"/>
      <c r="C52" s="56"/>
      <c r="D52" s="43"/>
      <c r="K52" s="43">
        <v>47</v>
      </c>
      <c r="L52" s="44" t="str">
        <f>IFERROR(INDEX($T$6:$T$105,MATCH(47,$W$6:$W$105,0)),"")</f>
        <v>Amber Long</v>
      </c>
      <c r="M52" s="44" t="str">
        <f>IFERROR(INDEX($U$6:$U$105,MATCH(47,$W$6:$W$105,0)),"")</f>
        <v>Tim Weah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Callum Fraser</v>
      </c>
      <c r="U52" t="str">
        <f>IF(Participants!C51="","",Participants!C51)</f>
        <v>Alphonso Davies</v>
      </c>
      <c r="V52">
        <f t="shared" si="3"/>
        <v>0</v>
      </c>
      <c r="W52">
        <f>IF(T52="","",COUNTIFS($V$6:$V$105,"&gt;"&amp;V52,$T$6:$T$105,"&lt;&gt;")+COUNTIFS($V$6:$V52,"="&amp;V52,$T$6:$T52,"&lt;&gt;"))</f>
        <v>48</v>
      </c>
    </row>
    <row r="53" spans="1:23" x14ac:dyDescent="0.25">
      <c r="A53" s="43"/>
      <c r="B53" s="56"/>
      <c r="C53" s="56"/>
      <c r="D53" s="43"/>
      <c r="K53" s="43">
        <v>48</v>
      </c>
      <c r="L53" s="44" t="str">
        <f>IFERROR(INDEX($T$6:$T$105,MATCH(48,$W$6:$W$105,0)),"")</f>
        <v>Callum Fraser</v>
      </c>
      <c r="M53" s="44" t="str">
        <f>IFERROR(INDEX($U$6:$U$105,MATCH(48,$W$6:$W$105,0)),"")</f>
        <v>Alphonso Davies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Molly Price</v>
      </c>
      <c r="U53" t="str">
        <f>IF(Participants!C52="","",Participants!C52)</f>
        <v>Santiago Giménez</v>
      </c>
      <c r="V53">
        <f t="shared" si="3"/>
        <v>0</v>
      </c>
      <c r="W53">
        <f>IF(T53="","",COUNTIFS($V$6:$V$105,"&gt;"&amp;V53,$T$6:$T$105,"&lt;&gt;")+COUNTIFS($V$6:$V53,"="&amp;V53,$T$6:$T53,"&lt;&gt;"))</f>
        <v>49</v>
      </c>
    </row>
    <row r="54" spans="1:23" x14ac:dyDescent="0.25">
      <c r="A54" s="43"/>
      <c r="B54" s="56"/>
      <c r="C54" s="56"/>
      <c r="D54" s="43"/>
      <c r="K54" s="43">
        <v>49</v>
      </c>
      <c r="L54" s="44" t="str">
        <f>IFERROR(INDEX($T$6:$T$105,MATCH(49,$W$6:$W$105,0)),"")</f>
        <v>Molly Price</v>
      </c>
      <c r="M54" s="44" t="str">
        <f>IFERROR(INDEX($U$6:$U$105,MATCH(49,$W$6:$W$105,0)),"")</f>
        <v>Santiago Giménez</v>
      </c>
      <c r="N54" s="43">
        <f>IFERROR(INDEX($V$6:$V$105,MATCH(49,$W$6:$W$105,0)),"")</f>
        <v>0</v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>Declan Burke</v>
      </c>
      <c r="U54" t="str">
        <f>IF(Participants!C53="","",Participants!C53)</f>
        <v>Mathys Tel</v>
      </c>
      <c r="V54">
        <f t="shared" si="3"/>
        <v>0</v>
      </c>
      <c r="W54">
        <f>IF(T54="","",COUNTIFS($V$6:$V$105,"&gt;"&amp;V54,$T$6:$T$105,"&lt;&gt;")+COUNTIFS($V$6:$V54,"="&amp;V54,$T$6:$T54,"&lt;&gt;"))</f>
        <v>50</v>
      </c>
    </row>
    <row r="55" spans="1:23" x14ac:dyDescent="0.25">
      <c r="A55" s="43"/>
      <c r="B55" s="56"/>
      <c r="C55" s="56"/>
      <c r="D55" s="43"/>
      <c r="K55" s="43">
        <v>50</v>
      </c>
      <c r="L55" s="44" t="str">
        <f>IFERROR(INDEX($T$6:$T$105,MATCH(50,$W$6:$W$105,0)),"")</f>
        <v>Declan Burke</v>
      </c>
      <c r="M55" s="44" t="str">
        <f>IFERROR(INDEX($U$6:$U$105,MATCH(50,$W$6:$W$105,0)),"")</f>
        <v>Mathys Tel</v>
      </c>
      <c r="N55" s="43">
        <f>IFERROR(INDEX($V$6:$V$105,MATCH(50,$W$6:$W$105,0)),"")</f>
        <v>0</v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>Sienna Cole</v>
      </c>
      <c r="U55" t="str">
        <f>IF(Participants!C54="","",Participants!C54)</f>
        <v>Donyell Malen</v>
      </c>
      <c r="V55">
        <f t="shared" si="3"/>
        <v>2</v>
      </c>
      <c r="W55">
        <f>IF(T55="","",COUNTIFS($V$6:$V$105,"&gt;"&amp;V55,$T$6:$T$105,"&lt;&gt;")+COUNTIFS($V$6:$V55,"="&amp;V55,$T$6:$T55,"&lt;&gt;"))</f>
        <v>3</v>
      </c>
    </row>
    <row r="56" spans="1:23" x14ac:dyDescent="0.25">
      <c r="A56" s="43"/>
      <c r="B56" s="56"/>
      <c r="C56" s="56"/>
      <c r="D56" s="43"/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P70" t="str">
        <f>IF(OR(B70="",COUNTIF($B$6:$B70,B70)&gt;1),"",B70)</f>
        <v/>
      </c>
      <c r="Q70" t="str">
        <f t="shared" ref="Q70:Q133" si="4">IF(P70="","",C70)</f>
        <v/>
      </c>
      <c r="R70" t="str">
        <f t="shared" ref="R70:R133" si="5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6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P71" t="str">
        <f>IF(OR(B71="",COUNTIF($B$6:$B71,B71)&gt;1),"",B71)</f>
        <v/>
      </c>
      <c r="Q71" t="str">
        <f t="shared" si="4"/>
        <v/>
      </c>
      <c r="R71" t="str">
        <f t="shared" si="5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6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P72" t="str">
        <f>IF(OR(B72="",COUNTIF($B$6:$B72,B72)&gt;1),"",B72)</f>
        <v/>
      </c>
      <c r="Q72" t="str">
        <f t="shared" si="4"/>
        <v/>
      </c>
      <c r="R72" t="str">
        <f t="shared" si="5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6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P73" t="str">
        <f>IF(OR(B73="",COUNTIF($B$6:$B73,B73)&gt;1),"",B73)</f>
        <v/>
      </c>
      <c r="Q73" t="str">
        <f t="shared" si="4"/>
        <v/>
      </c>
      <c r="R73" t="str">
        <f t="shared" si="5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6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P74" t="str">
        <f>IF(OR(B74="",COUNTIF($B$6:$B74,B74)&gt;1),"",B74)</f>
        <v/>
      </c>
      <c r="Q74" t="str">
        <f t="shared" si="4"/>
        <v/>
      </c>
      <c r="R74" t="str">
        <f t="shared" si="5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6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P75" t="str">
        <f>IF(OR(B75="",COUNTIF($B$6:$B75,B75)&gt;1),"",B75)</f>
        <v/>
      </c>
      <c r="Q75" t="str">
        <f t="shared" si="4"/>
        <v/>
      </c>
      <c r="R75" t="str">
        <f t="shared" si="5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6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P76" t="str">
        <f>IF(OR(B76="",COUNTIF($B$6:$B76,B76)&gt;1),"",B76)</f>
        <v/>
      </c>
      <c r="Q76" t="str">
        <f t="shared" si="4"/>
        <v/>
      </c>
      <c r="R76" t="str">
        <f t="shared" si="5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6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P77" t="str">
        <f>IF(OR(B77="",COUNTIF($B$6:$B77,B77)&gt;1),"",B77)</f>
        <v/>
      </c>
      <c r="Q77" t="str">
        <f t="shared" si="4"/>
        <v/>
      </c>
      <c r="R77" t="str">
        <f t="shared" si="5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6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P78" t="str">
        <f>IF(OR(B78="",COUNTIF($B$6:$B78,B78)&gt;1),"",B78)</f>
        <v/>
      </c>
      <c r="Q78" t="str">
        <f t="shared" si="4"/>
        <v/>
      </c>
      <c r="R78" t="str">
        <f t="shared" si="5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6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P79" t="str">
        <f>IF(OR(B79="",COUNTIF($B$6:$B79,B79)&gt;1),"",B79)</f>
        <v/>
      </c>
      <c r="Q79" t="str">
        <f t="shared" si="4"/>
        <v/>
      </c>
      <c r="R79" t="str">
        <f t="shared" si="5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6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P80" t="str">
        <f>IF(OR(B80="",COUNTIF($B$6:$B80,B80)&gt;1),"",B80)</f>
        <v/>
      </c>
      <c r="Q80" t="str">
        <f t="shared" si="4"/>
        <v/>
      </c>
      <c r="R80" t="str">
        <f t="shared" si="5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6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P81" t="str">
        <f>IF(OR(B81="",COUNTIF($B$6:$B81,B81)&gt;1),"",B81)</f>
        <v/>
      </c>
      <c r="Q81" t="str">
        <f t="shared" si="4"/>
        <v/>
      </c>
      <c r="R81" t="str">
        <f t="shared" si="5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6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P82" t="str">
        <f>IF(OR(B82="",COUNTIF($B$6:$B82,B82)&gt;1),"",B82)</f>
        <v/>
      </c>
      <c r="Q82" t="str">
        <f t="shared" si="4"/>
        <v/>
      </c>
      <c r="R82" t="str">
        <f t="shared" si="5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6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P83" t="str">
        <f>IF(OR(B83="",COUNTIF($B$6:$B83,B83)&gt;1),"",B83)</f>
        <v/>
      </c>
      <c r="Q83" t="str">
        <f t="shared" si="4"/>
        <v/>
      </c>
      <c r="R83" t="str">
        <f t="shared" si="5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6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P84" t="str">
        <f>IF(OR(B84="",COUNTIF($B$6:$B84,B84)&gt;1),"",B84)</f>
        <v/>
      </c>
      <c r="Q84" t="str">
        <f t="shared" si="4"/>
        <v/>
      </c>
      <c r="R84" t="str">
        <f t="shared" si="5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6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P85" t="str">
        <f>IF(OR(B85="",COUNTIF($B$6:$B85,B85)&gt;1),"",B85)</f>
        <v/>
      </c>
      <c r="Q85" t="str">
        <f t="shared" si="4"/>
        <v/>
      </c>
      <c r="R85" t="str">
        <f t="shared" si="5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6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P86" t="str">
        <f>IF(OR(B86="",COUNTIF($B$6:$B86,B86)&gt;1),"",B86)</f>
        <v/>
      </c>
      <c r="Q86" t="str">
        <f t="shared" si="4"/>
        <v/>
      </c>
      <c r="R86" t="str">
        <f t="shared" si="5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6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P87" t="str">
        <f>IF(OR(B87="",COUNTIF($B$6:$B87,B87)&gt;1),"",B87)</f>
        <v/>
      </c>
      <c r="Q87" t="str">
        <f t="shared" si="4"/>
        <v/>
      </c>
      <c r="R87" t="str">
        <f t="shared" si="5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6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P88" t="str">
        <f>IF(OR(B88="",COUNTIF($B$6:$B88,B88)&gt;1),"",B88)</f>
        <v/>
      </c>
      <c r="Q88" t="str">
        <f t="shared" si="4"/>
        <v/>
      </c>
      <c r="R88" t="str">
        <f t="shared" si="5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6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P89" t="str">
        <f>IF(OR(B89="",COUNTIF($B$6:$B89,B89)&gt;1),"",B89)</f>
        <v/>
      </c>
      <c r="Q89" t="str">
        <f t="shared" si="4"/>
        <v/>
      </c>
      <c r="R89" t="str">
        <f t="shared" si="5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6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P90" t="str">
        <f>IF(OR(B90="",COUNTIF($B$6:$B90,B90)&gt;1),"",B90)</f>
        <v/>
      </c>
      <c r="Q90" t="str">
        <f t="shared" si="4"/>
        <v/>
      </c>
      <c r="R90" t="str">
        <f t="shared" si="5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6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P91" t="str">
        <f>IF(OR(B91="",COUNTIF($B$6:$B91,B91)&gt;1),"",B91)</f>
        <v/>
      </c>
      <c r="Q91" t="str">
        <f t="shared" si="4"/>
        <v/>
      </c>
      <c r="R91" t="str">
        <f t="shared" si="5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6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P92" t="str">
        <f>IF(OR(B92="",COUNTIF($B$6:$B92,B92)&gt;1),"",B92)</f>
        <v/>
      </c>
      <c r="Q92" t="str">
        <f t="shared" si="4"/>
        <v/>
      </c>
      <c r="R92" t="str">
        <f t="shared" si="5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6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P93" t="str">
        <f>IF(OR(B93="",COUNTIF($B$6:$B93,B93)&gt;1),"",B93)</f>
        <v/>
      </c>
      <c r="Q93" t="str">
        <f t="shared" si="4"/>
        <v/>
      </c>
      <c r="R93" t="str">
        <f t="shared" si="5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6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P94" t="str">
        <f>IF(OR(B94="",COUNTIF($B$6:$B94,B94)&gt;1),"",B94)</f>
        <v/>
      </c>
      <c r="Q94" t="str">
        <f t="shared" si="4"/>
        <v/>
      </c>
      <c r="R94" t="str">
        <f t="shared" si="5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6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P95" t="str">
        <f>IF(OR(B95="",COUNTIF($B$6:$B95,B95)&gt;1),"",B95)</f>
        <v/>
      </c>
      <c r="Q95" t="str">
        <f t="shared" si="4"/>
        <v/>
      </c>
      <c r="R95" t="str">
        <f t="shared" si="5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6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P96" t="str">
        <f>IF(OR(B96="",COUNTIF($B$6:$B96,B96)&gt;1),"",B96)</f>
        <v/>
      </c>
      <c r="Q96" t="str">
        <f t="shared" si="4"/>
        <v/>
      </c>
      <c r="R96" t="str">
        <f t="shared" si="5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6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P97" t="str">
        <f>IF(OR(B97="",COUNTIF($B$6:$B97,B97)&gt;1),"",B97)</f>
        <v/>
      </c>
      <c r="Q97" t="str">
        <f t="shared" si="4"/>
        <v/>
      </c>
      <c r="R97" t="str">
        <f t="shared" si="5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6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P98" t="str">
        <f>IF(OR(B98="",COUNTIF($B$6:$B98,B98)&gt;1),"",B98)</f>
        <v/>
      </c>
      <c r="Q98" t="str">
        <f t="shared" si="4"/>
        <v/>
      </c>
      <c r="R98" t="str">
        <f t="shared" si="5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6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P99" t="str">
        <f>IF(OR(B99="",COUNTIF($B$6:$B99,B99)&gt;1),"",B99)</f>
        <v/>
      </c>
      <c r="Q99" t="str">
        <f t="shared" si="4"/>
        <v/>
      </c>
      <c r="R99" t="str">
        <f t="shared" si="5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6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P100" t="str">
        <f>IF(OR(B100="",COUNTIF($B$6:$B100,B100)&gt;1),"",B100)</f>
        <v/>
      </c>
      <c r="Q100" t="str">
        <f t="shared" si="4"/>
        <v/>
      </c>
      <c r="R100" t="str">
        <f t="shared" si="5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6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P101" t="str">
        <f>IF(OR(B101="",COUNTIF($B$6:$B101,B101)&gt;1),"",B101)</f>
        <v/>
      </c>
      <c r="Q101" t="str">
        <f t="shared" si="4"/>
        <v/>
      </c>
      <c r="R101" t="str">
        <f t="shared" si="5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6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P102" t="str">
        <f>IF(OR(B102="",COUNTIF($B$6:$B102,B102)&gt;1),"",B102)</f>
        <v/>
      </c>
      <c r="Q102" t="str">
        <f t="shared" si="4"/>
        <v/>
      </c>
      <c r="R102" t="str">
        <f t="shared" si="5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33" si="7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P103" t="str">
        <f>IF(OR(B103="",COUNTIF($B$6:$B103,B103)&gt;1),"",B103)</f>
        <v/>
      </c>
      <c r="Q103" t="str">
        <f t="shared" si="4"/>
        <v/>
      </c>
      <c r="R103" t="str">
        <f t="shared" si="5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7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P104" t="str">
        <f>IF(OR(B104="",COUNTIF($B$6:$B104,B104)&gt;1),"",B104)</f>
        <v/>
      </c>
      <c r="Q104" t="str">
        <f t="shared" si="4"/>
        <v/>
      </c>
      <c r="R104" t="str">
        <f t="shared" si="5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7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P105" t="str">
        <f>IF(OR(B105="",COUNTIF($B$6:$B105,B105)&gt;1),"",B105)</f>
        <v/>
      </c>
      <c r="Q105" t="str">
        <f t="shared" si="4"/>
        <v/>
      </c>
      <c r="R105" t="str">
        <f t="shared" si="5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7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P106" t="str">
        <f>IF(OR(B106="",COUNTIF($B$6:$B106,B106)&gt;1),"",B106)</f>
        <v/>
      </c>
      <c r="Q106" t="str">
        <f t="shared" si="4"/>
        <v/>
      </c>
      <c r="R106" t="str">
        <f t="shared" si="5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25">
      <c r="A107" s="43"/>
      <c r="B107" s="56"/>
      <c r="C107" s="56"/>
      <c r="D107" s="43"/>
      <c r="P107" t="str">
        <f>IF(OR(B107="",COUNTIF($B$6:$B107,B107)&gt;1),"",B107)</f>
        <v/>
      </c>
      <c r="Q107" t="str">
        <f t="shared" si="4"/>
        <v/>
      </c>
      <c r="R107" t="str">
        <f t="shared" si="5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25">
      <c r="A108" s="43"/>
      <c r="B108" s="56"/>
      <c r="C108" s="56"/>
      <c r="D108" s="43"/>
      <c r="P108" t="str">
        <f>IF(OR(B108="",COUNTIF($B$6:$B108,B108)&gt;1),"",B108)</f>
        <v/>
      </c>
      <c r="Q108" t="str">
        <f t="shared" si="4"/>
        <v/>
      </c>
      <c r="R108" t="str">
        <f t="shared" si="5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25">
      <c r="A109" s="43"/>
      <c r="B109" s="56"/>
      <c r="C109" s="56"/>
      <c r="D109" s="43"/>
      <c r="P109" t="str">
        <f>IF(OR(B109="",COUNTIF($B$6:$B109,B109)&gt;1),"",B109)</f>
        <v/>
      </c>
      <c r="Q109" t="str">
        <f t="shared" si="4"/>
        <v/>
      </c>
      <c r="R109" t="str">
        <f t="shared" si="5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/>
      <c r="B110" s="56"/>
      <c r="C110" s="56"/>
      <c r="D110" s="43"/>
      <c r="P110" t="str">
        <f>IF(OR(B110="",COUNTIF($B$6:$B110,B110)&gt;1),"",B110)</f>
        <v/>
      </c>
      <c r="Q110" t="str">
        <f t="shared" si="4"/>
        <v/>
      </c>
      <c r="R110" t="str">
        <f t="shared" si="5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/>
      <c r="B111" s="56"/>
      <c r="C111" s="56"/>
      <c r="D111" s="43"/>
      <c r="P111" t="str">
        <f>IF(OR(B111="",COUNTIF($B$6:$B111,B111)&gt;1),"",B111)</f>
        <v/>
      </c>
      <c r="Q111" t="str">
        <f t="shared" si="4"/>
        <v/>
      </c>
      <c r="R111" t="str">
        <f t="shared" si="5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25">
      <c r="A112" s="43"/>
      <c r="B112" s="56"/>
      <c r="C112" s="56"/>
      <c r="D112" s="43"/>
      <c r="P112" t="str">
        <f>IF(OR(B112="",COUNTIF($B$6:$B112,B112)&gt;1),"",B112)</f>
        <v/>
      </c>
      <c r="Q112" t="str">
        <f t="shared" si="4"/>
        <v/>
      </c>
      <c r="R112" t="str">
        <f t="shared" si="5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/>
      <c r="B113" s="56"/>
      <c r="C113" s="56"/>
      <c r="D113" s="43"/>
      <c r="P113" t="str">
        <f>IF(OR(B113="",COUNTIF($B$6:$B113,B113)&gt;1),"",B113)</f>
        <v/>
      </c>
      <c r="Q113" t="str">
        <f t="shared" si="4"/>
        <v/>
      </c>
      <c r="R113" t="str">
        <f t="shared" si="5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25">
      <c r="A114" s="43"/>
      <c r="B114" s="56"/>
      <c r="C114" s="56"/>
      <c r="D114" s="43"/>
      <c r="P114" t="str">
        <f>IF(OR(B114="",COUNTIF($B$6:$B114,B114)&gt;1),"",B114)</f>
        <v/>
      </c>
      <c r="Q114" t="str">
        <f t="shared" si="4"/>
        <v/>
      </c>
      <c r="R114" t="str">
        <f t="shared" si="5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25">
      <c r="A115" s="43"/>
      <c r="B115" s="56"/>
      <c r="C115" s="56"/>
      <c r="D115" s="43"/>
      <c r="P115" t="str">
        <f>IF(OR(B115="",COUNTIF($B$6:$B115,B115)&gt;1),"",B115)</f>
        <v/>
      </c>
      <c r="Q115" t="str">
        <f t="shared" si="4"/>
        <v/>
      </c>
      <c r="R115" t="str">
        <f t="shared" si="5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25">
      <c r="A116" s="43"/>
      <c r="B116" s="56"/>
      <c r="C116" s="56"/>
      <c r="D116" s="43"/>
      <c r="P116" t="str">
        <f>IF(OR(B116="",COUNTIF($B$6:$B116,B116)&gt;1),"",B116)</f>
        <v/>
      </c>
      <c r="Q116" t="str">
        <f t="shared" si="4"/>
        <v/>
      </c>
      <c r="R116" t="str">
        <f t="shared" si="5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25">
      <c r="A117" s="43"/>
      <c r="B117" s="56"/>
      <c r="C117" s="56"/>
      <c r="D117" s="43"/>
      <c r="P117" t="str">
        <f>IF(OR(B117="",COUNTIF($B$6:$B117,B117)&gt;1),"",B117)</f>
        <v/>
      </c>
      <c r="Q117" t="str">
        <f t="shared" si="4"/>
        <v/>
      </c>
      <c r="R117" t="str">
        <f t="shared" si="5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25">
      <c r="A118" s="43"/>
      <c r="B118" s="56"/>
      <c r="C118" s="56"/>
      <c r="D118" s="43"/>
      <c r="P118" t="str">
        <f>IF(OR(B118="",COUNTIF($B$6:$B118,B118)&gt;1),"",B118)</f>
        <v/>
      </c>
      <c r="Q118" t="str">
        <f t="shared" si="4"/>
        <v/>
      </c>
      <c r="R118" t="str">
        <f t="shared" si="5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25">
      <c r="A119" s="43"/>
      <c r="B119" s="56"/>
      <c r="C119" s="56"/>
      <c r="D119" s="43"/>
      <c r="P119" t="str">
        <f>IF(OR(B119="",COUNTIF($B$6:$B119,B119)&gt;1),"",B119)</f>
        <v/>
      </c>
      <c r="Q119" t="str">
        <f t="shared" si="4"/>
        <v/>
      </c>
      <c r="R119" t="str">
        <f t="shared" si="5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25">
      <c r="A120" s="43"/>
      <c r="B120" s="56"/>
      <c r="C120" s="56"/>
      <c r="D120" s="43"/>
      <c r="P120" t="str">
        <f>IF(OR(B120="",COUNTIF($B$6:$B120,B120)&gt;1),"",B120)</f>
        <v/>
      </c>
      <c r="Q120" t="str">
        <f t="shared" si="4"/>
        <v/>
      </c>
      <c r="R120" t="str">
        <f t="shared" si="5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25">
      <c r="A121" s="43"/>
      <c r="B121" s="56"/>
      <c r="C121" s="56"/>
      <c r="D121" s="43"/>
      <c r="P121" t="str">
        <f>IF(OR(B121="",COUNTIF($B$6:$B121,B121)&gt;1),"",B121)</f>
        <v/>
      </c>
      <c r="Q121" t="str">
        <f t="shared" si="4"/>
        <v/>
      </c>
      <c r="R121" t="str">
        <f t="shared" si="5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25">
      <c r="A122" s="43"/>
      <c r="B122" s="56"/>
      <c r="C122" s="56"/>
      <c r="D122" s="43"/>
      <c r="P122" t="str">
        <f>IF(OR(B122="",COUNTIF($B$6:$B122,B122)&gt;1),"",B122)</f>
        <v/>
      </c>
      <c r="Q122" t="str">
        <f t="shared" si="4"/>
        <v/>
      </c>
      <c r="R122" t="str">
        <f t="shared" si="5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25">
      <c r="A123" s="43"/>
      <c r="B123" s="56"/>
      <c r="C123" s="56"/>
      <c r="D123" s="43"/>
      <c r="P123" t="str">
        <f>IF(OR(B123="",COUNTIF($B$6:$B123,B123)&gt;1),"",B123)</f>
        <v/>
      </c>
      <c r="Q123" t="str">
        <f t="shared" si="4"/>
        <v/>
      </c>
      <c r="R123" t="str">
        <f t="shared" si="5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/>
      <c r="B124" s="56"/>
      <c r="C124" s="56"/>
      <c r="D124" s="43"/>
      <c r="P124" t="str">
        <f>IF(OR(B124="",COUNTIF($B$6:$B124,B124)&gt;1),"",B124)</f>
        <v/>
      </c>
      <c r="Q124" t="str">
        <f t="shared" si="4"/>
        <v/>
      </c>
      <c r="R124" t="str">
        <f t="shared" si="5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/>
      <c r="B125" s="56"/>
      <c r="C125" s="56"/>
      <c r="D125" s="43"/>
      <c r="P125" t="str">
        <f>IF(OR(B125="",COUNTIF($B$6:$B125,B125)&gt;1),"",B125)</f>
        <v/>
      </c>
      <c r="Q125" t="str">
        <f t="shared" si="4"/>
        <v/>
      </c>
      <c r="R125" t="str">
        <f t="shared" si="5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/>
      <c r="B126" s="56"/>
      <c r="C126" s="56"/>
      <c r="D126" s="43"/>
      <c r="P126" t="str">
        <f>IF(OR(B126="",COUNTIF($B$6:$B126,B126)&gt;1),"",B126)</f>
        <v/>
      </c>
      <c r="Q126" t="str">
        <f t="shared" si="4"/>
        <v/>
      </c>
      <c r="R126" t="str">
        <f t="shared" si="5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25">
      <c r="A127" s="43"/>
      <c r="B127" s="56"/>
      <c r="C127" s="56"/>
      <c r="D127" s="43"/>
      <c r="P127" t="str">
        <f>IF(OR(B127="",COUNTIF($B$6:$B127,B127)&gt;1),"",B127)</f>
        <v/>
      </c>
      <c r="Q127" t="str">
        <f t="shared" si="4"/>
        <v/>
      </c>
      <c r="R127" t="str">
        <f t="shared" si="5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25">
      <c r="A128" s="43"/>
      <c r="B128" s="56"/>
      <c r="C128" s="56"/>
      <c r="D128" s="43"/>
      <c r="P128" t="str">
        <f>IF(OR(B128="",COUNTIF($B$6:$B128,B128)&gt;1),"",B128)</f>
        <v/>
      </c>
      <c r="Q128" t="str">
        <f t="shared" si="4"/>
        <v/>
      </c>
      <c r="R128" t="str">
        <f t="shared" si="5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25">
      <c r="A129" s="43"/>
      <c r="B129" s="56"/>
      <c r="C129" s="56"/>
      <c r="D129" s="43"/>
      <c r="P129" t="str">
        <f>IF(OR(B129="",COUNTIF($B$6:$B129,B129)&gt;1),"",B129)</f>
        <v/>
      </c>
      <c r="Q129" t="str">
        <f t="shared" si="4"/>
        <v/>
      </c>
      <c r="R129" t="str">
        <f t="shared" si="5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/>
      <c r="B130" s="56"/>
      <c r="C130" s="56"/>
      <c r="D130" s="43"/>
      <c r="P130" t="str">
        <f>IF(OR(B130="",COUNTIF($B$6:$B130,B130)&gt;1),"",B130)</f>
        <v/>
      </c>
      <c r="Q130" t="str">
        <f t="shared" si="4"/>
        <v/>
      </c>
      <c r="R130" t="str">
        <f t="shared" si="5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/>
      <c r="B131" s="56"/>
      <c r="C131" s="56"/>
      <c r="D131" s="43"/>
      <c r="P131" t="str">
        <f>IF(OR(B131="",COUNTIF($B$6:$B131,B131)&gt;1),"",B131)</f>
        <v/>
      </c>
      <c r="Q131" t="str">
        <f t="shared" si="4"/>
        <v/>
      </c>
      <c r="R131" t="str">
        <f t="shared" si="5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/>
      <c r="B132" s="56"/>
      <c r="C132" s="56"/>
      <c r="D132" s="43"/>
      <c r="P132" t="str">
        <f>IF(OR(B132="",COUNTIF($B$6:$B132,B132)&gt;1),"",B132)</f>
        <v/>
      </c>
      <c r="Q132" t="str">
        <f t="shared" si="4"/>
        <v/>
      </c>
      <c r="R132" t="str">
        <f t="shared" si="5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25">
      <c r="A133" s="43"/>
      <c r="B133" s="56"/>
      <c r="C133" s="56"/>
      <c r="D133" s="43"/>
      <c r="P133" t="str">
        <f>IF(OR(B133="",COUNTIF($B$6:$B133,B133)&gt;1),"",B133)</f>
        <v/>
      </c>
      <c r="Q133" t="str">
        <f t="shared" si="4"/>
        <v/>
      </c>
      <c r="R133" t="str">
        <f t="shared" si="5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25">
      <c r="A134" s="43"/>
      <c r="B134" s="56"/>
      <c r="C134" s="56"/>
      <c r="D134" s="43"/>
      <c r="P134" t="str">
        <f>IF(OR(B134="",COUNTIF($B$6:$B134,B134)&gt;1),"",B134)</f>
        <v/>
      </c>
      <c r="Q134" t="str">
        <f t="shared" ref="Q134:Q197" si="8">IF(P134="","",C134)</f>
        <v/>
      </c>
      <c r="R134" t="str">
        <f t="shared" ref="R134:R197" si="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25">
      <c r="A135" s="43"/>
      <c r="B135" s="56"/>
      <c r="C135" s="56"/>
      <c r="D135" s="43"/>
      <c r="P135" t="str">
        <f>IF(OR(B135="",COUNTIF($B$6:$B135,B135)&gt;1),"",B135)</f>
        <v/>
      </c>
      <c r="Q135" t="str">
        <f t="shared" si="8"/>
        <v/>
      </c>
      <c r="R135" t="str">
        <f t="shared" si="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25">
      <c r="A136" s="43"/>
      <c r="B136" s="56"/>
      <c r="C136" s="56"/>
      <c r="D136" s="43"/>
      <c r="P136" t="str">
        <f>IF(OR(B136="",COUNTIF($B$6:$B136,B136)&gt;1),"",B136)</f>
        <v/>
      </c>
      <c r="Q136" t="str">
        <f t="shared" si="8"/>
        <v/>
      </c>
      <c r="R136" t="str">
        <f t="shared" si="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25">
      <c r="A137" s="43"/>
      <c r="B137" s="56"/>
      <c r="C137" s="56"/>
      <c r="D137" s="43"/>
      <c r="P137" t="str">
        <f>IF(OR(B137="",COUNTIF($B$6:$B137,B137)&gt;1),"",B137)</f>
        <v/>
      </c>
      <c r="Q137" t="str">
        <f t="shared" si="8"/>
        <v/>
      </c>
      <c r="R137" t="str">
        <f t="shared" si="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25">
      <c r="A138" s="43"/>
      <c r="B138" s="56"/>
      <c r="C138" s="56"/>
      <c r="D138" s="43"/>
      <c r="P138" t="str">
        <f>IF(OR(B138="",COUNTIF($B$6:$B138,B138)&gt;1),"",B138)</f>
        <v/>
      </c>
      <c r="Q138" t="str">
        <f t="shared" si="8"/>
        <v/>
      </c>
      <c r="R138" t="str">
        <f t="shared" si="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25">
      <c r="A139" s="43"/>
      <c r="B139" s="56"/>
      <c r="C139" s="56"/>
      <c r="D139" s="43"/>
      <c r="P139" t="str">
        <f>IF(OR(B139="",COUNTIF($B$6:$B139,B139)&gt;1),"",B139)</f>
        <v/>
      </c>
      <c r="Q139" t="str">
        <f t="shared" si="8"/>
        <v/>
      </c>
      <c r="R139" t="str">
        <f t="shared" si="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/>
      <c r="B140" s="56"/>
      <c r="C140" s="56"/>
      <c r="D140" s="43"/>
      <c r="P140" t="str">
        <f>IF(OR(B140="",COUNTIF($B$6:$B140,B140)&gt;1),"",B140)</f>
        <v/>
      </c>
      <c r="Q140" t="str">
        <f t="shared" si="8"/>
        <v/>
      </c>
      <c r="R140" t="str">
        <f t="shared" si="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25">
      <c r="A141" s="43"/>
      <c r="B141" s="56"/>
      <c r="C141" s="56"/>
      <c r="D141" s="43"/>
      <c r="P141" t="str">
        <f>IF(OR(B141="",COUNTIF($B$6:$B141,B141)&gt;1),"",B141)</f>
        <v/>
      </c>
      <c r="Q141" t="str">
        <f t="shared" si="8"/>
        <v/>
      </c>
      <c r="R141" t="str">
        <f t="shared" si="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25">
      <c r="A142" s="43"/>
      <c r="B142" s="56"/>
      <c r="C142" s="56"/>
      <c r="D142" s="43"/>
      <c r="P142" t="str">
        <f>IF(OR(B142="",COUNTIF($B$6:$B142,B142)&gt;1),"",B142)</f>
        <v/>
      </c>
      <c r="Q142" t="str">
        <f t="shared" si="8"/>
        <v/>
      </c>
      <c r="R142" t="str">
        <f t="shared" si="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25">
      <c r="A143" s="43"/>
      <c r="B143" s="56"/>
      <c r="C143" s="56"/>
      <c r="D143" s="43"/>
      <c r="P143" t="str">
        <f>IF(OR(B143="",COUNTIF($B$6:$B143,B143)&gt;1),"",B143)</f>
        <v/>
      </c>
      <c r="Q143" t="str">
        <f t="shared" si="8"/>
        <v/>
      </c>
      <c r="R143" t="str">
        <f t="shared" si="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25">
      <c r="A144" s="43"/>
      <c r="B144" s="56"/>
      <c r="C144" s="56"/>
      <c r="D144" s="43"/>
      <c r="P144" t="str">
        <f>IF(OR(B144="",COUNTIF($B$6:$B144,B144)&gt;1),"",B144)</f>
        <v/>
      </c>
      <c r="Q144" t="str">
        <f t="shared" si="8"/>
        <v/>
      </c>
      <c r="R144" t="str">
        <f t="shared" si="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25">
      <c r="A145" s="43"/>
      <c r="B145" s="56"/>
      <c r="C145" s="56"/>
      <c r="D145" s="43"/>
      <c r="P145" t="str">
        <f>IF(OR(B145="",COUNTIF($B$6:$B145,B145)&gt;1),"",B145)</f>
        <v/>
      </c>
      <c r="Q145" t="str">
        <f t="shared" si="8"/>
        <v/>
      </c>
      <c r="R145" t="str">
        <f t="shared" si="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25">
      <c r="A146" s="43"/>
      <c r="B146" s="56"/>
      <c r="C146" s="56"/>
      <c r="D146" s="43"/>
      <c r="P146" t="str">
        <f>IF(OR(B146="",COUNTIF($B$6:$B146,B146)&gt;1),"",B146)</f>
        <v/>
      </c>
      <c r="Q146" t="str">
        <f t="shared" si="8"/>
        <v/>
      </c>
      <c r="R146" t="str">
        <f t="shared" si="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25">
      <c r="A147" s="43"/>
      <c r="B147" s="56"/>
      <c r="C147" s="56"/>
      <c r="D147" s="43"/>
      <c r="P147" t="str">
        <f>IF(OR(B147="",COUNTIF($B$6:$B147,B147)&gt;1),"",B147)</f>
        <v/>
      </c>
      <c r="Q147" t="str">
        <f t="shared" si="8"/>
        <v/>
      </c>
      <c r="R147" t="str">
        <f t="shared" si="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25">
      <c r="A148" s="43"/>
      <c r="B148" s="56"/>
      <c r="C148" s="56"/>
      <c r="D148" s="43"/>
      <c r="P148" t="str">
        <f>IF(OR(B148="",COUNTIF($B$6:$B148,B148)&gt;1),"",B148)</f>
        <v/>
      </c>
      <c r="Q148" t="str">
        <f t="shared" si="8"/>
        <v/>
      </c>
      <c r="R148" t="str">
        <f t="shared" si="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25">
      <c r="A149" s="43"/>
      <c r="B149" s="56"/>
      <c r="C149" s="56"/>
      <c r="D149" s="43"/>
      <c r="P149" t="str">
        <f>IF(OR(B149="",COUNTIF($B$6:$B149,B149)&gt;1),"",B149)</f>
        <v/>
      </c>
      <c r="Q149" t="str">
        <f t="shared" si="8"/>
        <v/>
      </c>
      <c r="R149" t="str">
        <f t="shared" si="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25">
      <c r="A150" s="43"/>
      <c r="B150" s="56"/>
      <c r="C150" s="56"/>
      <c r="D150" s="43"/>
      <c r="P150" t="str">
        <f>IF(OR(B150="",COUNTIF($B$6:$B150,B150)&gt;1),"",B150)</f>
        <v/>
      </c>
      <c r="Q150" t="str">
        <f t="shared" si="8"/>
        <v/>
      </c>
      <c r="R150" t="str">
        <f t="shared" si="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/>
      <c r="B151" s="56"/>
      <c r="C151" s="56"/>
      <c r="D151" s="43"/>
      <c r="P151" t="str">
        <f>IF(OR(B151="",COUNTIF($B$6:$B151,B151)&gt;1),"",B151)</f>
        <v/>
      </c>
      <c r="Q151" t="str">
        <f t="shared" si="8"/>
        <v/>
      </c>
      <c r="R151" t="str">
        <f t="shared" si="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25">
      <c r="A152" s="43"/>
      <c r="B152" s="56"/>
      <c r="C152" s="56"/>
      <c r="D152" s="43"/>
      <c r="P152" t="str">
        <f>IF(OR(B152="",COUNTIF($B$6:$B152,B152)&gt;1),"",B152)</f>
        <v/>
      </c>
      <c r="Q152" t="str">
        <f t="shared" si="8"/>
        <v/>
      </c>
      <c r="R152" t="str">
        <f t="shared" si="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25">
      <c r="A153" s="43"/>
      <c r="B153" s="56"/>
      <c r="C153" s="56"/>
      <c r="D153" s="43"/>
      <c r="P153" t="str">
        <f>IF(OR(B153="",COUNTIF($B$6:$B153,B153)&gt;1),"",B153)</f>
        <v/>
      </c>
      <c r="Q153" t="str">
        <f t="shared" si="8"/>
        <v/>
      </c>
      <c r="R153" t="str">
        <f t="shared" si="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25">
      <c r="A154" s="43"/>
      <c r="B154" s="56"/>
      <c r="C154" s="56"/>
      <c r="D154" s="43"/>
      <c r="P154" t="str">
        <f>IF(OR(B154="",COUNTIF($B$6:$B154,B154)&gt;1),"",B154)</f>
        <v/>
      </c>
      <c r="Q154" t="str">
        <f t="shared" si="8"/>
        <v/>
      </c>
      <c r="R154" t="str">
        <f t="shared" si="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25">
      <c r="A155" s="43"/>
      <c r="B155" s="56"/>
      <c r="C155" s="56"/>
      <c r="D155" s="43"/>
      <c r="P155" t="str">
        <f>IF(OR(B155="",COUNTIF($B$6:$B155,B155)&gt;1),"",B155)</f>
        <v/>
      </c>
      <c r="Q155" t="str">
        <f t="shared" si="8"/>
        <v/>
      </c>
      <c r="R155" t="str">
        <f t="shared" si="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/>
      <c r="B156" s="56"/>
      <c r="C156" s="56"/>
      <c r="D156" s="43"/>
      <c r="P156" t="str">
        <f>IF(OR(B156="",COUNTIF($B$6:$B156,B156)&gt;1),"",B156)</f>
        <v/>
      </c>
      <c r="Q156" t="str">
        <f t="shared" si="8"/>
        <v/>
      </c>
      <c r="R156" t="str">
        <f t="shared" si="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25">
      <c r="A157" s="43"/>
      <c r="B157" s="56"/>
      <c r="C157" s="56"/>
      <c r="D157" s="43"/>
      <c r="P157" t="str">
        <f>IF(OR(B157="",COUNTIF($B$6:$B157,B157)&gt;1),"",B157)</f>
        <v/>
      </c>
      <c r="Q157" t="str">
        <f t="shared" si="8"/>
        <v/>
      </c>
      <c r="R157" t="str">
        <f t="shared" si="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25">
      <c r="A158" s="43"/>
      <c r="B158" s="56"/>
      <c r="C158" s="56"/>
      <c r="D158" s="43"/>
      <c r="P158" t="str">
        <f>IF(OR(B158="",COUNTIF($B$6:$B158,B158)&gt;1),"",B158)</f>
        <v/>
      </c>
      <c r="Q158" t="str">
        <f t="shared" si="8"/>
        <v/>
      </c>
      <c r="R158" t="str">
        <f t="shared" si="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/>
      <c r="B159" s="56"/>
      <c r="C159" s="56"/>
      <c r="D159" s="43"/>
      <c r="P159" t="str">
        <f>IF(OR(B159="",COUNTIF($B$6:$B159,B159)&gt;1),"",B159)</f>
        <v/>
      </c>
      <c r="Q159" t="str">
        <f t="shared" si="8"/>
        <v/>
      </c>
      <c r="R159" t="str">
        <f t="shared" si="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25">
      <c r="A160" s="43"/>
      <c r="B160" s="56"/>
      <c r="C160" s="56"/>
      <c r="D160" s="43"/>
      <c r="P160" t="str">
        <f>IF(OR(B160="",COUNTIF($B$6:$B160,B160)&gt;1),"",B160)</f>
        <v/>
      </c>
      <c r="Q160" t="str">
        <f t="shared" si="8"/>
        <v/>
      </c>
      <c r="R160" t="str">
        <f t="shared" si="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/>
      <c r="B161" s="56"/>
      <c r="C161" s="56"/>
      <c r="D161" s="43"/>
      <c r="P161" t="str">
        <f>IF(OR(B161="",COUNTIF($B$6:$B161,B161)&gt;1),"",B161)</f>
        <v/>
      </c>
      <c r="Q161" t="str">
        <f t="shared" si="8"/>
        <v/>
      </c>
      <c r="R161" t="str">
        <f t="shared" si="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25">
      <c r="A162" s="43"/>
      <c r="B162" s="56"/>
      <c r="C162" s="56"/>
      <c r="D162" s="43"/>
      <c r="P162" t="str">
        <f>IF(OR(B162="",COUNTIF($B$6:$B162,B162)&gt;1),"",B162)</f>
        <v/>
      </c>
      <c r="Q162" t="str">
        <f t="shared" si="8"/>
        <v/>
      </c>
      <c r="R162" t="str">
        <f t="shared" si="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25">
      <c r="A163" s="43"/>
      <c r="B163" s="56"/>
      <c r="C163" s="56"/>
      <c r="D163" s="43"/>
      <c r="P163" t="str">
        <f>IF(OR(B163="",COUNTIF($B$6:$B163,B163)&gt;1),"",B163)</f>
        <v/>
      </c>
      <c r="Q163" t="str">
        <f t="shared" si="8"/>
        <v/>
      </c>
      <c r="R163" t="str">
        <f t="shared" si="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25">
      <c r="A164" s="43"/>
      <c r="B164" s="56"/>
      <c r="C164" s="56"/>
      <c r="D164" s="43"/>
      <c r="P164" t="str">
        <f>IF(OR(B164="",COUNTIF($B$6:$B164,B164)&gt;1),"",B164)</f>
        <v/>
      </c>
      <c r="Q164" t="str">
        <f t="shared" si="8"/>
        <v/>
      </c>
      <c r="R164" t="str">
        <f t="shared" si="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/>
      <c r="B165" s="56"/>
      <c r="C165" s="56"/>
      <c r="D165" s="43"/>
      <c r="P165" t="str">
        <f>IF(OR(B165="",COUNTIF($B$6:$B165,B165)&gt;1),"",B165)</f>
        <v/>
      </c>
      <c r="Q165" t="str">
        <f t="shared" si="8"/>
        <v/>
      </c>
      <c r="R165" t="str">
        <f t="shared" si="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25">
      <c r="A166" s="43"/>
      <c r="B166" s="56"/>
      <c r="C166" s="56"/>
      <c r="D166" s="43"/>
      <c r="P166" t="str">
        <f>IF(OR(B166="",COUNTIF($B$6:$B166,B166)&gt;1),"",B166)</f>
        <v/>
      </c>
      <c r="Q166" t="str">
        <f t="shared" si="8"/>
        <v/>
      </c>
      <c r="R166" t="str">
        <f t="shared" si="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25">
      <c r="A167" s="43"/>
      <c r="B167" s="56"/>
      <c r="C167" s="56"/>
      <c r="D167" s="43"/>
      <c r="P167" t="str">
        <f>IF(OR(B167="",COUNTIF($B$6:$B167,B167)&gt;1),"",B167)</f>
        <v/>
      </c>
      <c r="Q167" t="str">
        <f t="shared" si="8"/>
        <v/>
      </c>
      <c r="R167" t="str">
        <f t="shared" si="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25">
      <c r="A168" s="43"/>
      <c r="B168" s="56"/>
      <c r="C168" s="56"/>
      <c r="D168" s="43"/>
      <c r="P168" t="str">
        <f>IF(OR(B168="",COUNTIF($B$6:$B168,B168)&gt;1),"",B168)</f>
        <v/>
      </c>
      <c r="Q168" t="str">
        <f t="shared" si="8"/>
        <v/>
      </c>
      <c r="R168" t="str">
        <f t="shared" si="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25">
      <c r="A169" s="43"/>
      <c r="B169" s="56"/>
      <c r="C169" s="56"/>
      <c r="D169" s="43"/>
      <c r="P169" t="str">
        <f>IF(OR(B169="",COUNTIF($B$6:$B169,B169)&gt;1),"",B169)</f>
        <v/>
      </c>
      <c r="Q169" t="str">
        <f t="shared" si="8"/>
        <v/>
      </c>
      <c r="R169" t="str">
        <f t="shared" si="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/>
      <c r="B170" s="56"/>
      <c r="C170" s="56"/>
      <c r="D170" s="43"/>
      <c r="P170" t="str">
        <f>IF(OR(B170="",COUNTIF($B$6:$B170,B170)&gt;1),"",B170)</f>
        <v/>
      </c>
      <c r="Q170" t="str">
        <f t="shared" si="8"/>
        <v/>
      </c>
      <c r="R170" t="str">
        <f t="shared" si="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25">
      <c r="A171" s="43"/>
      <c r="B171" s="56"/>
      <c r="C171" s="56"/>
      <c r="D171" s="43"/>
      <c r="P171" t="str">
        <f>IF(OR(B171="",COUNTIF($B$6:$B171,B171)&gt;1),"",B171)</f>
        <v/>
      </c>
      <c r="Q171" t="str">
        <f t="shared" si="8"/>
        <v/>
      </c>
      <c r="R171" t="str">
        <f t="shared" si="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/>
      <c r="B172" s="56"/>
      <c r="C172" s="56"/>
      <c r="D172" s="43"/>
      <c r="P172" t="str">
        <f>IF(OR(B172="",COUNTIF($B$6:$B172,B172)&gt;1),"",B172)</f>
        <v/>
      </c>
      <c r="Q172" t="str">
        <f t="shared" si="8"/>
        <v/>
      </c>
      <c r="R172" t="str">
        <f t="shared" si="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/>
      <c r="B173" s="56"/>
      <c r="C173" s="56"/>
      <c r="D173" s="43"/>
      <c r="P173" t="str">
        <f>IF(OR(B173="",COUNTIF($B$6:$B173,B173)&gt;1),"",B173)</f>
        <v/>
      </c>
      <c r="Q173" t="str">
        <f t="shared" si="8"/>
        <v/>
      </c>
      <c r="R173" t="str">
        <f t="shared" si="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25">
      <c r="A174" s="43"/>
      <c r="B174" s="56"/>
      <c r="C174" s="56"/>
      <c r="D174" s="43"/>
      <c r="P174" t="str">
        <f>IF(OR(B174="",COUNTIF($B$6:$B174,B174)&gt;1),"",B174)</f>
        <v/>
      </c>
      <c r="Q174" t="str">
        <f t="shared" si="8"/>
        <v/>
      </c>
      <c r="R174" t="str">
        <f t="shared" si="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25">
      <c r="A175" s="43"/>
      <c r="B175" s="56"/>
      <c r="C175" s="56"/>
      <c r="D175" s="43"/>
      <c r="P175" t="str">
        <f>IF(OR(B175="",COUNTIF($B$6:$B175,B175)&gt;1),"",B175)</f>
        <v/>
      </c>
      <c r="Q175" t="str">
        <f t="shared" si="8"/>
        <v/>
      </c>
      <c r="R175" t="str">
        <f t="shared" si="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25">
      <c r="A176" s="43"/>
      <c r="B176" s="56"/>
      <c r="C176" s="56"/>
      <c r="D176" s="43"/>
      <c r="P176" t="str">
        <f>IF(OR(B176="",COUNTIF($B$6:$B176,B176)&gt;1),"",B176)</f>
        <v/>
      </c>
      <c r="Q176" t="str">
        <f t="shared" si="8"/>
        <v/>
      </c>
      <c r="R176" t="str">
        <f t="shared" si="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25">
      <c r="A177" s="43"/>
      <c r="B177" s="56"/>
      <c r="C177" s="56"/>
      <c r="D177" s="43"/>
      <c r="P177" t="str">
        <f>IF(OR(B177="",COUNTIF($B$6:$B177,B177)&gt;1),"",B177)</f>
        <v/>
      </c>
      <c r="Q177" t="str">
        <f t="shared" si="8"/>
        <v/>
      </c>
      <c r="R177" t="str">
        <f t="shared" si="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25">
      <c r="A178" s="43"/>
      <c r="B178" s="56"/>
      <c r="C178" s="56"/>
      <c r="D178" s="43"/>
      <c r="P178" t="str">
        <f>IF(OR(B178="",COUNTIF($B$6:$B178,B178)&gt;1),"",B178)</f>
        <v/>
      </c>
      <c r="Q178" t="str">
        <f t="shared" si="8"/>
        <v/>
      </c>
      <c r="R178" t="str">
        <f t="shared" si="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25">
      <c r="A179" s="43"/>
      <c r="B179" s="56"/>
      <c r="C179" s="56"/>
      <c r="D179" s="43"/>
      <c r="P179" t="str">
        <f>IF(OR(B179="",COUNTIF($B$6:$B179,B179)&gt;1),"",B179)</f>
        <v/>
      </c>
      <c r="Q179" t="str">
        <f t="shared" si="8"/>
        <v/>
      </c>
      <c r="R179" t="str">
        <f t="shared" si="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25">
      <c r="A180" s="43"/>
      <c r="B180" s="56"/>
      <c r="C180" s="56"/>
      <c r="D180" s="43"/>
      <c r="P180" t="str">
        <f>IF(OR(B180="",COUNTIF($B$6:$B180,B180)&gt;1),"",B180)</f>
        <v/>
      </c>
      <c r="Q180" t="str">
        <f t="shared" si="8"/>
        <v/>
      </c>
      <c r="R180" t="str">
        <f t="shared" si="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25">
      <c r="A181" s="43"/>
      <c r="B181" s="56"/>
      <c r="C181" s="56"/>
      <c r="D181" s="43"/>
      <c r="P181" t="str">
        <f>IF(OR(B181="",COUNTIF($B$6:$B181,B181)&gt;1),"",B181)</f>
        <v/>
      </c>
      <c r="Q181" t="str">
        <f t="shared" si="8"/>
        <v/>
      </c>
      <c r="R181" t="str">
        <f t="shared" si="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25">
      <c r="A182" s="43"/>
      <c r="B182" s="56"/>
      <c r="C182" s="56"/>
      <c r="D182" s="43"/>
      <c r="P182" t="str">
        <f>IF(OR(B182="",COUNTIF($B$6:$B182,B182)&gt;1),"",B182)</f>
        <v/>
      </c>
      <c r="Q182" t="str">
        <f t="shared" si="8"/>
        <v/>
      </c>
      <c r="R182" t="str">
        <f t="shared" si="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25">
      <c r="A183" s="43"/>
      <c r="B183" s="56"/>
      <c r="C183" s="56"/>
      <c r="D183" s="43"/>
      <c r="P183" t="str">
        <f>IF(OR(B183="",COUNTIF($B$6:$B183,B183)&gt;1),"",B183)</f>
        <v/>
      </c>
      <c r="Q183" t="str">
        <f t="shared" si="8"/>
        <v/>
      </c>
      <c r="R183" t="str">
        <f t="shared" si="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25">
      <c r="A184" s="43"/>
      <c r="B184" s="56"/>
      <c r="C184" s="56"/>
      <c r="D184" s="43"/>
      <c r="P184" t="str">
        <f>IF(OR(B184="",COUNTIF($B$6:$B184,B184)&gt;1),"",B184)</f>
        <v/>
      </c>
      <c r="Q184" t="str">
        <f t="shared" si="8"/>
        <v/>
      </c>
      <c r="R184" t="str">
        <f t="shared" si="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/>
      <c r="B185" s="56"/>
      <c r="C185" s="56"/>
      <c r="D185" s="43"/>
      <c r="P185" t="str">
        <f>IF(OR(B185="",COUNTIF($B$6:$B185,B185)&gt;1),"",B185)</f>
        <v/>
      </c>
      <c r="Q185" t="str">
        <f t="shared" si="8"/>
        <v/>
      </c>
      <c r="R185" t="str">
        <f t="shared" si="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/>
      <c r="B186" s="56"/>
      <c r="C186" s="56"/>
      <c r="D186" s="43"/>
      <c r="P186" t="str">
        <f>IF(OR(B186="",COUNTIF($B$6:$B186,B186)&gt;1),"",B186)</f>
        <v/>
      </c>
      <c r="Q186" t="str">
        <f t="shared" si="8"/>
        <v/>
      </c>
      <c r="R186" t="str">
        <f t="shared" si="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25">
      <c r="A187" s="43"/>
      <c r="B187" s="56"/>
      <c r="C187" s="56"/>
      <c r="D187" s="43"/>
      <c r="P187" t="str">
        <f>IF(OR(B187="",COUNTIF($B$6:$B187,B187)&gt;1),"",B187)</f>
        <v/>
      </c>
      <c r="Q187" t="str">
        <f t="shared" si="8"/>
        <v/>
      </c>
      <c r="R187" t="str">
        <f t="shared" si="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25">
      <c r="A188" s="43"/>
      <c r="B188" s="56"/>
      <c r="C188" s="56"/>
      <c r="D188" s="43"/>
      <c r="P188" t="str">
        <f>IF(OR(B188="",COUNTIF($B$6:$B188,B188)&gt;1),"",B188)</f>
        <v/>
      </c>
      <c r="Q188" t="str">
        <f t="shared" si="8"/>
        <v/>
      </c>
      <c r="R188" t="str">
        <f t="shared" si="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25">
      <c r="A189" s="43"/>
      <c r="B189" s="56"/>
      <c r="C189" s="56"/>
      <c r="D189" s="43"/>
      <c r="P189" t="str">
        <f>IF(OR(B189="",COUNTIF($B$6:$B189,B189)&gt;1),"",B189)</f>
        <v/>
      </c>
      <c r="Q189" t="str">
        <f t="shared" si="8"/>
        <v/>
      </c>
      <c r="R189" t="str">
        <f t="shared" si="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/>
      <c r="B190" s="56"/>
      <c r="C190" s="56"/>
      <c r="D190" s="43"/>
      <c r="P190" t="str">
        <f>IF(OR(B190="",COUNTIF($B$6:$B190,B190)&gt;1),"",B190)</f>
        <v/>
      </c>
      <c r="Q190" t="str">
        <f t="shared" si="8"/>
        <v/>
      </c>
      <c r="R190" t="str">
        <f t="shared" si="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25">
      <c r="A191" s="43"/>
      <c r="B191" s="56"/>
      <c r="C191" s="56"/>
      <c r="D191" s="43"/>
      <c r="P191" t="str">
        <f>IF(OR(B191="",COUNTIF($B$6:$B191,B191)&gt;1),"",B191)</f>
        <v/>
      </c>
      <c r="Q191" t="str">
        <f t="shared" si="8"/>
        <v/>
      </c>
      <c r="R191" t="str">
        <f t="shared" si="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/>
      <c r="B192" s="56"/>
      <c r="C192" s="56"/>
      <c r="D192" s="43"/>
      <c r="P192" t="str">
        <f>IF(OR(B192="",COUNTIF($B$6:$B192,B192)&gt;1),"",B192)</f>
        <v/>
      </c>
      <c r="Q192" t="str">
        <f t="shared" si="8"/>
        <v/>
      </c>
      <c r="R192" t="str">
        <f t="shared" si="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25">
      <c r="A193" s="43"/>
      <c r="B193" s="56"/>
      <c r="C193" s="56"/>
      <c r="D193" s="43"/>
      <c r="P193" t="str">
        <f>IF(OR(B193="",COUNTIF($B$6:$B193,B193)&gt;1),"",B193)</f>
        <v/>
      </c>
      <c r="Q193" t="str">
        <f t="shared" si="8"/>
        <v/>
      </c>
      <c r="R193" t="str">
        <f t="shared" si="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25">
      <c r="A194" s="43"/>
      <c r="B194" s="56"/>
      <c r="C194" s="56"/>
      <c r="D194" s="43"/>
      <c r="P194" t="str">
        <f>IF(OR(B194="",COUNTIF($B$6:$B194,B194)&gt;1),"",B194)</f>
        <v/>
      </c>
      <c r="Q194" t="str">
        <f t="shared" si="8"/>
        <v/>
      </c>
      <c r="R194" t="str">
        <f t="shared" si="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25">
      <c r="A195" s="43"/>
      <c r="B195" s="56"/>
      <c r="C195" s="56"/>
      <c r="D195" s="43"/>
      <c r="P195" t="str">
        <f>IF(OR(B195="",COUNTIF($B$6:$B195,B195)&gt;1),"",B195)</f>
        <v/>
      </c>
      <c r="Q195" t="str">
        <f t="shared" si="8"/>
        <v/>
      </c>
      <c r="R195" t="str">
        <f t="shared" si="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25">
      <c r="A196" s="43"/>
      <c r="B196" s="56"/>
      <c r="C196" s="56"/>
      <c r="D196" s="43"/>
      <c r="P196" t="str">
        <f>IF(OR(B196="",COUNTIF($B$6:$B196,B196)&gt;1),"",B196)</f>
        <v/>
      </c>
      <c r="Q196" t="str">
        <f t="shared" si="8"/>
        <v/>
      </c>
      <c r="R196" t="str">
        <f t="shared" si="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/>
      <c r="B197" s="56"/>
      <c r="C197" s="56"/>
      <c r="D197" s="43"/>
      <c r="P197" t="str">
        <f>IF(OR(B197="",COUNTIF($B$6:$B197,B197)&gt;1),"",B197)</f>
        <v/>
      </c>
      <c r="Q197" t="str">
        <f t="shared" si="8"/>
        <v/>
      </c>
      <c r="R197" t="str">
        <f t="shared" si="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/>
      <c r="B198" s="56"/>
      <c r="C198" s="56"/>
      <c r="D198" s="43"/>
      <c r="P198" t="str">
        <f>IF(OR(B198="",COUNTIF($B$6:$B198,B198)&gt;1),"",B198)</f>
        <v/>
      </c>
      <c r="Q198" t="str">
        <f t="shared" ref="Q198:Q261" si="10">IF(P198="","",C198)</f>
        <v/>
      </c>
      <c r="R198" t="str">
        <f t="shared" ref="R198:R261" si="11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/>
      <c r="B199" s="56"/>
      <c r="C199" s="56"/>
      <c r="D199" s="43"/>
      <c r="P199" t="str">
        <f>IF(OR(B199="",COUNTIF($B$6:$B199,B199)&gt;1),"",B199)</f>
        <v/>
      </c>
      <c r="Q199" t="str">
        <f t="shared" si="10"/>
        <v/>
      </c>
      <c r="R199" t="str">
        <f t="shared" si="11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25">
      <c r="A200" s="43"/>
      <c r="B200" s="56"/>
      <c r="C200" s="56"/>
      <c r="D200" s="43"/>
      <c r="P200" t="str">
        <f>IF(OR(B200="",COUNTIF($B$6:$B200,B200)&gt;1),"",B200)</f>
        <v/>
      </c>
      <c r="Q200" t="str">
        <f t="shared" si="10"/>
        <v/>
      </c>
      <c r="R200" t="str">
        <f t="shared" si="11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P201" t="str">
        <f>IF(OR(B201="",COUNTIF($B$6:$B201,B201)&gt;1),"",B201)</f>
        <v/>
      </c>
      <c r="Q201" t="str">
        <f t="shared" si="10"/>
        <v/>
      </c>
      <c r="R201" t="str">
        <f t="shared" si="11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P202" t="str">
        <f>IF(OR(B202="",COUNTIF($B$6:$B202,B202)&gt;1),"",B202)</f>
        <v/>
      </c>
      <c r="Q202" t="str">
        <f t="shared" si="10"/>
        <v/>
      </c>
      <c r="R202" t="str">
        <f t="shared" si="11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P203" t="str">
        <f>IF(OR(B203="",COUNTIF($B$6:$B203,B203)&gt;1),"",B203)</f>
        <v/>
      </c>
      <c r="Q203" t="str">
        <f t="shared" si="10"/>
        <v/>
      </c>
      <c r="R203" t="str">
        <f t="shared" si="11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P204" t="str">
        <f>IF(OR(B204="",COUNTIF($B$6:$B204,B204)&gt;1),"",B204)</f>
        <v/>
      </c>
      <c r="Q204" t="str">
        <f t="shared" si="10"/>
        <v/>
      </c>
      <c r="R204" t="str">
        <f t="shared" si="11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P205" t="str">
        <f>IF(OR(B205="",COUNTIF($B$6:$B205,B205)&gt;1),"",B205)</f>
        <v/>
      </c>
      <c r="Q205" t="str">
        <f t="shared" si="10"/>
        <v/>
      </c>
      <c r="R205" t="str">
        <f t="shared" si="11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P206" t="str">
        <f>IF(OR(B206="",COUNTIF($B$6:$B206,B206)&gt;1),"",B206)</f>
        <v/>
      </c>
      <c r="Q206" t="str">
        <f t="shared" si="10"/>
        <v/>
      </c>
      <c r="R206" t="str">
        <f t="shared" si="11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P207" t="str">
        <f>IF(OR(B207="",COUNTIF($B$6:$B207,B207)&gt;1),"",B207)</f>
        <v/>
      </c>
      <c r="Q207" t="str">
        <f t="shared" si="10"/>
        <v/>
      </c>
      <c r="R207" t="str">
        <f t="shared" si="11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P208" t="str">
        <f>IF(OR(B208="",COUNTIF($B$6:$B208,B208)&gt;1),"",B208)</f>
        <v/>
      </c>
      <c r="Q208" t="str">
        <f t="shared" si="10"/>
        <v/>
      </c>
      <c r="R208" t="str">
        <f t="shared" si="11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P209" t="str">
        <f>IF(OR(B209="",COUNTIF($B$6:$B209,B209)&gt;1),"",B209)</f>
        <v/>
      </c>
      <c r="Q209" t="str">
        <f t="shared" si="10"/>
        <v/>
      </c>
      <c r="R209" t="str">
        <f t="shared" si="11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P210" t="str">
        <f>IF(OR(B210="",COUNTIF($B$6:$B210,B210)&gt;1),"",B210)</f>
        <v/>
      </c>
      <c r="Q210" t="str">
        <f t="shared" si="10"/>
        <v/>
      </c>
      <c r="R210" t="str">
        <f t="shared" si="11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P211" t="str">
        <f>IF(OR(B211="",COUNTIF($B$6:$B211,B211)&gt;1),"",B211)</f>
        <v/>
      </c>
      <c r="Q211" t="str">
        <f t="shared" si="10"/>
        <v/>
      </c>
      <c r="R211" t="str">
        <f t="shared" si="11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P212" t="str">
        <f>IF(OR(B212="",COUNTIF($B$6:$B212,B212)&gt;1),"",B212)</f>
        <v/>
      </c>
      <c r="Q212" t="str">
        <f t="shared" si="10"/>
        <v/>
      </c>
      <c r="R212" t="str">
        <f t="shared" si="11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P213" t="str">
        <f>IF(OR(B213="",COUNTIF($B$6:$B213,B213)&gt;1),"",B213)</f>
        <v/>
      </c>
      <c r="Q213" t="str">
        <f t="shared" si="10"/>
        <v/>
      </c>
      <c r="R213" t="str">
        <f t="shared" si="11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P214" t="str">
        <f>IF(OR(B214="",COUNTIF($B$6:$B214,B214)&gt;1),"",B214)</f>
        <v/>
      </c>
      <c r="Q214" t="str">
        <f t="shared" si="10"/>
        <v/>
      </c>
      <c r="R214" t="str">
        <f t="shared" si="11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P215" t="str">
        <f>IF(OR(B215="",COUNTIF($B$6:$B215,B215)&gt;1),"",B215)</f>
        <v/>
      </c>
      <c r="Q215" t="str">
        <f t="shared" si="10"/>
        <v/>
      </c>
      <c r="R215" t="str">
        <f t="shared" si="11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P216" t="str">
        <f>IF(OR(B216="",COUNTIF($B$6:$B216,B216)&gt;1),"",B216)</f>
        <v/>
      </c>
      <c r="Q216" t="str">
        <f t="shared" si="10"/>
        <v/>
      </c>
      <c r="R216" t="str">
        <f t="shared" si="11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P217" t="str">
        <f>IF(OR(B217="",COUNTIF($B$6:$B217,B217)&gt;1),"",B217)</f>
        <v/>
      </c>
      <c r="Q217" t="str">
        <f t="shared" si="10"/>
        <v/>
      </c>
      <c r="R217" t="str">
        <f t="shared" si="11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P218" t="str">
        <f>IF(OR(B218="",COUNTIF($B$6:$B218,B218)&gt;1),"",B218)</f>
        <v/>
      </c>
      <c r="Q218" t="str">
        <f t="shared" si="10"/>
        <v/>
      </c>
      <c r="R218" t="str">
        <f t="shared" si="11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P219" t="str">
        <f>IF(OR(B219="",COUNTIF($B$6:$B219,B219)&gt;1),"",B219)</f>
        <v/>
      </c>
      <c r="Q219" t="str">
        <f t="shared" si="10"/>
        <v/>
      </c>
      <c r="R219" t="str">
        <f t="shared" si="11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P220" t="str">
        <f>IF(OR(B220="",COUNTIF($B$6:$B220,B220)&gt;1),"",B220)</f>
        <v/>
      </c>
      <c r="Q220" t="str">
        <f t="shared" si="10"/>
        <v/>
      </c>
      <c r="R220" t="str">
        <f t="shared" si="11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P221" t="str">
        <f>IF(OR(B221="",COUNTIF($B$6:$B221,B221)&gt;1),"",B221)</f>
        <v/>
      </c>
      <c r="Q221" t="str">
        <f t="shared" si="10"/>
        <v/>
      </c>
      <c r="R221" t="str">
        <f t="shared" si="11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P222" t="str">
        <f>IF(OR(B222="",COUNTIF($B$6:$B222,B222)&gt;1),"",B222)</f>
        <v/>
      </c>
      <c r="Q222" t="str">
        <f t="shared" si="10"/>
        <v/>
      </c>
      <c r="R222" t="str">
        <f t="shared" si="11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P223" t="str">
        <f>IF(OR(B223="",COUNTIF($B$6:$B223,B223)&gt;1),"",B223)</f>
        <v/>
      </c>
      <c r="Q223" t="str">
        <f t="shared" si="10"/>
        <v/>
      </c>
      <c r="R223" t="str">
        <f t="shared" si="11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P224" t="str">
        <f>IF(OR(B224="",COUNTIF($B$6:$B224,B224)&gt;1),"",B224)</f>
        <v/>
      </c>
      <c r="Q224" t="str">
        <f t="shared" si="10"/>
        <v/>
      </c>
      <c r="R224" t="str">
        <f t="shared" si="11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P225" t="str">
        <f>IF(OR(B225="",COUNTIF($B$6:$B225,B225)&gt;1),"",B225)</f>
        <v/>
      </c>
      <c r="Q225" t="str">
        <f t="shared" si="10"/>
        <v/>
      </c>
      <c r="R225" t="str">
        <f t="shared" si="11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P226" t="str">
        <f>IF(OR(B226="",COUNTIF($B$6:$B226,B226)&gt;1),"",B226)</f>
        <v/>
      </c>
      <c r="Q226" t="str">
        <f t="shared" si="10"/>
        <v/>
      </c>
      <c r="R226" t="str">
        <f t="shared" si="11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P227" t="str">
        <f>IF(OR(B227="",COUNTIF($B$6:$B227,B227)&gt;1),"",B227)</f>
        <v/>
      </c>
      <c r="Q227" t="str">
        <f t="shared" si="10"/>
        <v/>
      </c>
      <c r="R227" t="str">
        <f t="shared" si="11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P228" t="str">
        <f>IF(OR(B228="",COUNTIF($B$6:$B228,B228)&gt;1),"",B228)</f>
        <v/>
      </c>
      <c r="Q228" t="str">
        <f t="shared" si="10"/>
        <v/>
      </c>
      <c r="R228" t="str">
        <f t="shared" si="11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P229" t="str">
        <f>IF(OR(B229="",COUNTIF($B$6:$B229,B229)&gt;1),"",B229)</f>
        <v/>
      </c>
      <c r="Q229" t="str">
        <f t="shared" si="10"/>
        <v/>
      </c>
      <c r="R229" t="str">
        <f t="shared" si="11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P230" t="str">
        <f>IF(OR(B230="",COUNTIF($B$6:$B230,B230)&gt;1),"",B230)</f>
        <v/>
      </c>
      <c r="Q230" t="str">
        <f t="shared" si="10"/>
        <v/>
      </c>
      <c r="R230" t="str">
        <f t="shared" si="11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P231" t="str">
        <f>IF(OR(B231="",COUNTIF($B$6:$B231,B231)&gt;1),"",B231)</f>
        <v/>
      </c>
      <c r="Q231" t="str">
        <f t="shared" si="10"/>
        <v/>
      </c>
      <c r="R231" t="str">
        <f t="shared" si="11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P232" t="str">
        <f>IF(OR(B232="",COUNTIF($B$6:$B232,B232)&gt;1),"",B232)</f>
        <v/>
      </c>
      <c r="Q232" t="str">
        <f t="shared" si="10"/>
        <v/>
      </c>
      <c r="R232" t="str">
        <f t="shared" si="11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P233" t="str">
        <f>IF(OR(B233="",COUNTIF($B$6:$B233,B233)&gt;1),"",B233)</f>
        <v/>
      </c>
      <c r="Q233" t="str">
        <f t="shared" si="10"/>
        <v/>
      </c>
      <c r="R233" t="str">
        <f t="shared" si="11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P234" t="str">
        <f>IF(OR(B234="",COUNTIF($B$6:$B234,B234)&gt;1),"",B234)</f>
        <v/>
      </c>
      <c r="Q234" t="str">
        <f t="shared" si="10"/>
        <v/>
      </c>
      <c r="R234" t="str">
        <f t="shared" si="11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P235" t="str">
        <f>IF(OR(B235="",COUNTIF($B$6:$B235,B235)&gt;1),"",B235)</f>
        <v/>
      </c>
      <c r="Q235" t="str">
        <f t="shared" si="10"/>
        <v/>
      </c>
      <c r="R235" t="str">
        <f t="shared" si="11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P236" t="str">
        <f>IF(OR(B236="",COUNTIF($B$6:$B236,B236)&gt;1),"",B236)</f>
        <v/>
      </c>
      <c r="Q236" t="str">
        <f t="shared" si="10"/>
        <v/>
      </c>
      <c r="R236" t="str">
        <f t="shared" si="11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P237" t="str">
        <f>IF(OR(B237="",COUNTIF($B$6:$B237,B237)&gt;1),"",B237)</f>
        <v/>
      </c>
      <c r="Q237" t="str">
        <f t="shared" si="10"/>
        <v/>
      </c>
      <c r="R237" t="str">
        <f t="shared" si="11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P238" t="str">
        <f>IF(OR(B238="",COUNTIF($B$6:$B238,B238)&gt;1),"",B238)</f>
        <v/>
      </c>
      <c r="Q238" t="str">
        <f t="shared" si="10"/>
        <v/>
      </c>
      <c r="R238" t="str">
        <f t="shared" si="11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P239" t="str">
        <f>IF(OR(B239="",COUNTIF($B$6:$B239,B239)&gt;1),"",B239)</f>
        <v/>
      </c>
      <c r="Q239" t="str">
        <f t="shared" si="10"/>
        <v/>
      </c>
      <c r="R239" t="str">
        <f t="shared" si="11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P240" t="str">
        <f>IF(OR(B240="",COUNTIF($B$6:$B240,B240)&gt;1),"",B240)</f>
        <v/>
      </c>
      <c r="Q240" t="str">
        <f t="shared" si="10"/>
        <v/>
      </c>
      <c r="R240" t="str">
        <f t="shared" si="11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P241" t="str">
        <f>IF(OR(B241="",COUNTIF($B$6:$B241,B241)&gt;1),"",B241)</f>
        <v/>
      </c>
      <c r="Q241" t="str">
        <f t="shared" si="10"/>
        <v/>
      </c>
      <c r="R241" t="str">
        <f t="shared" si="11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P242" t="str">
        <f>IF(OR(B242="",COUNTIF($B$6:$B242,B242)&gt;1),"",B242)</f>
        <v/>
      </c>
      <c r="Q242" t="str">
        <f t="shared" si="10"/>
        <v/>
      </c>
      <c r="R242" t="str">
        <f t="shared" si="11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P243" t="str">
        <f>IF(OR(B243="",COUNTIF($B$6:$B243,B243)&gt;1),"",B243)</f>
        <v/>
      </c>
      <c r="Q243" t="str">
        <f t="shared" si="10"/>
        <v/>
      </c>
      <c r="R243" t="str">
        <f t="shared" si="11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P244" t="str">
        <f>IF(OR(B244="",COUNTIF($B$6:$B244,B244)&gt;1),"",B244)</f>
        <v/>
      </c>
      <c r="Q244" t="str">
        <f t="shared" si="10"/>
        <v/>
      </c>
      <c r="R244" t="str">
        <f t="shared" si="11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P245" t="str">
        <f>IF(OR(B245="",COUNTIF($B$6:$B245,B245)&gt;1),"",B245)</f>
        <v/>
      </c>
      <c r="Q245" t="str">
        <f t="shared" si="10"/>
        <v/>
      </c>
      <c r="R245" t="str">
        <f t="shared" si="11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P246" t="str">
        <f>IF(OR(B246="",COUNTIF($B$6:$B246,B246)&gt;1),"",B246)</f>
        <v/>
      </c>
      <c r="Q246" t="str">
        <f t="shared" si="10"/>
        <v/>
      </c>
      <c r="R246" t="str">
        <f t="shared" si="11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P247" t="str">
        <f>IF(OR(B247="",COUNTIF($B$6:$B247,B247)&gt;1),"",B247)</f>
        <v/>
      </c>
      <c r="Q247" t="str">
        <f t="shared" si="10"/>
        <v/>
      </c>
      <c r="R247" t="str">
        <f t="shared" si="11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P248" t="str">
        <f>IF(OR(B248="",COUNTIF($B$6:$B248,B248)&gt;1),"",B248)</f>
        <v/>
      </c>
      <c r="Q248" t="str">
        <f t="shared" si="10"/>
        <v/>
      </c>
      <c r="R248" t="str">
        <f t="shared" si="11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P249" t="str">
        <f>IF(OR(B249="",COUNTIF($B$6:$B249,B249)&gt;1),"",B249)</f>
        <v/>
      </c>
      <c r="Q249" t="str">
        <f t="shared" si="10"/>
        <v/>
      </c>
      <c r="R249" t="str">
        <f t="shared" si="11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P250" t="str">
        <f>IF(OR(B250="",COUNTIF($B$6:$B250,B250)&gt;1),"",B250)</f>
        <v/>
      </c>
      <c r="Q250" t="str">
        <f t="shared" si="10"/>
        <v/>
      </c>
      <c r="R250" t="str">
        <f t="shared" si="11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P251" t="str">
        <f>IF(OR(B251="",COUNTIF($B$6:$B251,B251)&gt;1),"",B251)</f>
        <v/>
      </c>
      <c r="Q251" t="str">
        <f t="shared" si="10"/>
        <v/>
      </c>
      <c r="R251" t="str">
        <f t="shared" si="11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P252" t="str">
        <f>IF(OR(B252="",COUNTIF($B$6:$B252,B252)&gt;1),"",B252)</f>
        <v/>
      </c>
      <c r="Q252" t="str">
        <f t="shared" si="10"/>
        <v/>
      </c>
      <c r="R252" t="str">
        <f t="shared" si="11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P253" t="str">
        <f>IF(OR(B253="",COUNTIF($B$6:$B253,B253)&gt;1),"",B253)</f>
        <v/>
      </c>
      <c r="Q253" t="str">
        <f t="shared" si="10"/>
        <v/>
      </c>
      <c r="R253" t="str">
        <f t="shared" si="11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P254" t="str">
        <f>IF(OR(B254="",COUNTIF($B$6:$B254,B254)&gt;1),"",B254)</f>
        <v/>
      </c>
      <c r="Q254" t="str">
        <f t="shared" si="10"/>
        <v/>
      </c>
      <c r="R254" t="str">
        <f t="shared" si="11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P255" t="str">
        <f>IF(OR(B255="",COUNTIF($B$6:$B255,B255)&gt;1),"",B255)</f>
        <v/>
      </c>
      <c r="Q255" t="str">
        <f t="shared" si="10"/>
        <v/>
      </c>
      <c r="R255" t="str">
        <f t="shared" si="11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P256" t="str">
        <f>IF(OR(B256="",COUNTIF($B$6:$B256,B256)&gt;1),"",B256)</f>
        <v/>
      </c>
      <c r="Q256" t="str">
        <f t="shared" si="10"/>
        <v/>
      </c>
      <c r="R256" t="str">
        <f t="shared" si="11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P257" t="str">
        <f>IF(OR(B257="",COUNTIF($B$6:$B257,B257)&gt;1),"",B257)</f>
        <v/>
      </c>
      <c r="Q257" t="str">
        <f t="shared" si="10"/>
        <v/>
      </c>
      <c r="R257" t="str">
        <f t="shared" si="11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P258" t="str">
        <f>IF(OR(B258="",COUNTIF($B$6:$B258,B258)&gt;1),"",B258)</f>
        <v/>
      </c>
      <c r="Q258" t="str">
        <f t="shared" si="10"/>
        <v/>
      </c>
      <c r="R258" t="str">
        <f t="shared" si="11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P259" t="str">
        <f>IF(OR(B259="",COUNTIF($B$6:$B259,B259)&gt;1),"",B259)</f>
        <v/>
      </c>
      <c r="Q259" t="str">
        <f t="shared" si="10"/>
        <v/>
      </c>
      <c r="R259" t="str">
        <f t="shared" si="11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P260" t="str">
        <f>IF(OR(B260="",COUNTIF($B$6:$B260,B260)&gt;1),"",B260)</f>
        <v/>
      </c>
      <c r="Q260" t="str">
        <f t="shared" si="10"/>
        <v/>
      </c>
      <c r="R260" t="str">
        <f t="shared" si="11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P261" t="str">
        <f>IF(OR(B261="",COUNTIF($B$6:$B261,B261)&gt;1),"",B261)</f>
        <v/>
      </c>
      <c r="Q261" t="str">
        <f t="shared" si="10"/>
        <v/>
      </c>
      <c r="R261" t="str">
        <f t="shared" si="11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P262" t="str">
        <f>IF(OR(B262="",COUNTIF($B$6:$B262,B262)&gt;1),"",B262)</f>
        <v/>
      </c>
      <c r="Q262" t="str">
        <f t="shared" ref="Q262:Q325" si="12">IF(P262="","",C262)</f>
        <v/>
      </c>
      <c r="R262" t="str">
        <f t="shared" ref="R262:R305" si="13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P263" t="str">
        <f>IF(OR(B263="",COUNTIF($B$6:$B263,B263)&gt;1),"",B263)</f>
        <v/>
      </c>
      <c r="Q263" t="str">
        <f t="shared" si="12"/>
        <v/>
      </c>
      <c r="R263" t="str">
        <f t="shared" si="13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P264" t="str">
        <f>IF(OR(B264="",COUNTIF($B$6:$B264,B264)&gt;1),"",B264)</f>
        <v/>
      </c>
      <c r="Q264" t="str">
        <f t="shared" si="12"/>
        <v/>
      </c>
      <c r="R264" t="str">
        <f t="shared" si="13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P265" t="str">
        <f>IF(OR(B265="",COUNTIF($B$6:$B265,B265)&gt;1),"",B265)</f>
        <v/>
      </c>
      <c r="Q265" t="str">
        <f t="shared" si="12"/>
        <v/>
      </c>
      <c r="R265" t="str">
        <f t="shared" si="13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P266" t="str">
        <f>IF(OR(B266="",COUNTIF($B$6:$B266,B266)&gt;1),"",B266)</f>
        <v/>
      </c>
      <c r="Q266" t="str">
        <f t="shared" si="12"/>
        <v/>
      </c>
      <c r="R266" t="str">
        <f t="shared" si="13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P267" t="str">
        <f>IF(OR(B267="",COUNTIF($B$6:$B267,B267)&gt;1),"",B267)</f>
        <v/>
      </c>
      <c r="Q267" t="str">
        <f t="shared" si="12"/>
        <v/>
      </c>
      <c r="R267" t="str">
        <f t="shared" si="13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P268" t="str">
        <f>IF(OR(B268="",COUNTIF($B$6:$B268,B268)&gt;1),"",B268)</f>
        <v/>
      </c>
      <c r="Q268" t="str">
        <f t="shared" si="12"/>
        <v/>
      </c>
      <c r="R268" t="str">
        <f t="shared" si="13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P269" t="str">
        <f>IF(OR(B269="",COUNTIF($B$6:$B269,B269)&gt;1),"",B269)</f>
        <v/>
      </c>
      <c r="Q269" t="str">
        <f t="shared" si="12"/>
        <v/>
      </c>
      <c r="R269" t="str">
        <f t="shared" si="13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P270" t="str">
        <f>IF(OR(B270="",COUNTIF($B$6:$B270,B270)&gt;1),"",B270)</f>
        <v/>
      </c>
      <c r="Q270" t="str">
        <f t="shared" si="12"/>
        <v/>
      </c>
      <c r="R270" t="str">
        <f t="shared" si="13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P271" t="str">
        <f>IF(OR(B271="",COUNTIF($B$6:$B271,B271)&gt;1),"",B271)</f>
        <v/>
      </c>
      <c r="Q271" t="str">
        <f t="shared" si="12"/>
        <v/>
      </c>
      <c r="R271" t="str">
        <f t="shared" si="13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P272" t="str">
        <f>IF(OR(B272="",COUNTIF($B$6:$B272,B272)&gt;1),"",B272)</f>
        <v/>
      </c>
      <c r="Q272" t="str">
        <f t="shared" si="12"/>
        <v/>
      </c>
      <c r="R272" t="str">
        <f t="shared" si="13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P273" t="str">
        <f>IF(OR(B273="",COUNTIF($B$6:$B273,B273)&gt;1),"",B273)</f>
        <v/>
      </c>
      <c r="Q273" t="str">
        <f t="shared" si="12"/>
        <v/>
      </c>
      <c r="R273" t="str">
        <f t="shared" si="13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P274" t="str">
        <f>IF(OR(B274="",COUNTIF($B$6:$B274,B274)&gt;1),"",B274)</f>
        <v/>
      </c>
      <c r="Q274" t="str">
        <f t="shared" si="12"/>
        <v/>
      </c>
      <c r="R274" t="str">
        <f t="shared" si="13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P275" t="str">
        <f>IF(OR(B275="",COUNTIF($B$6:$B275,B275)&gt;1),"",B275)</f>
        <v/>
      </c>
      <c r="Q275" t="str">
        <f t="shared" si="12"/>
        <v/>
      </c>
      <c r="R275" t="str">
        <f t="shared" si="13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P276" t="str">
        <f>IF(OR(B276="",COUNTIF($B$6:$B276,B276)&gt;1),"",B276)</f>
        <v/>
      </c>
      <c r="Q276" t="str">
        <f t="shared" si="12"/>
        <v/>
      </c>
      <c r="R276" t="str">
        <f t="shared" si="13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P277" t="str">
        <f>IF(OR(B277="",COUNTIF($B$6:$B277,B277)&gt;1),"",B277)</f>
        <v/>
      </c>
      <c r="Q277" t="str">
        <f t="shared" si="12"/>
        <v/>
      </c>
      <c r="R277" t="str">
        <f t="shared" si="13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P278" t="str">
        <f>IF(OR(B278="",COUNTIF($B$6:$B278,B278)&gt;1),"",B278)</f>
        <v/>
      </c>
      <c r="Q278" t="str">
        <f t="shared" si="12"/>
        <v/>
      </c>
      <c r="R278" t="str">
        <f t="shared" si="13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P279" t="str">
        <f>IF(OR(B279="",COUNTIF($B$6:$B279,B279)&gt;1),"",B279)</f>
        <v/>
      </c>
      <c r="Q279" t="str">
        <f t="shared" si="12"/>
        <v/>
      </c>
      <c r="R279" t="str">
        <f t="shared" si="13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P280" t="str">
        <f>IF(OR(B280="",COUNTIF($B$6:$B280,B280)&gt;1),"",B280)</f>
        <v/>
      </c>
      <c r="Q280" t="str">
        <f t="shared" si="12"/>
        <v/>
      </c>
      <c r="R280" t="str">
        <f t="shared" si="13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P281" t="str">
        <f>IF(OR(B281="",COUNTIF($B$6:$B281,B281)&gt;1),"",B281)</f>
        <v/>
      </c>
      <c r="Q281" t="str">
        <f t="shared" si="12"/>
        <v/>
      </c>
      <c r="R281" t="str">
        <f t="shared" si="13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P282" t="str">
        <f>IF(OR(B282="",COUNTIF($B$6:$B282,B282)&gt;1),"",B282)</f>
        <v/>
      </c>
      <c r="Q282" t="str">
        <f t="shared" si="12"/>
        <v/>
      </c>
      <c r="R282" t="str">
        <f t="shared" si="13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P283" t="str">
        <f>IF(OR(B283="",COUNTIF($B$6:$B283,B283)&gt;1),"",B283)</f>
        <v/>
      </c>
      <c r="Q283" t="str">
        <f t="shared" si="12"/>
        <v/>
      </c>
      <c r="R283" t="str">
        <f t="shared" si="13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P284" t="str">
        <f>IF(OR(B284="",COUNTIF($B$6:$B284,B284)&gt;1),"",B284)</f>
        <v/>
      </c>
      <c r="Q284" t="str">
        <f t="shared" si="12"/>
        <v/>
      </c>
      <c r="R284" t="str">
        <f t="shared" si="13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P285" t="str">
        <f>IF(OR(B285="",COUNTIF($B$6:$B285,B285)&gt;1),"",B285)</f>
        <v/>
      </c>
      <c r="Q285" t="str">
        <f t="shared" si="12"/>
        <v/>
      </c>
      <c r="R285" t="str">
        <f t="shared" si="13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P286" t="str">
        <f>IF(OR(B286="",COUNTIF($B$6:$B286,B286)&gt;1),"",B286)</f>
        <v/>
      </c>
      <c r="Q286" t="str">
        <f t="shared" si="12"/>
        <v/>
      </c>
      <c r="R286" t="str">
        <f t="shared" si="13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P287" t="str">
        <f>IF(OR(B287="",COUNTIF($B$6:$B287,B287)&gt;1),"",B287)</f>
        <v/>
      </c>
      <c r="Q287" t="str">
        <f t="shared" si="12"/>
        <v/>
      </c>
      <c r="R287" t="str">
        <f t="shared" si="13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P288" t="str">
        <f>IF(OR(B288="",COUNTIF($B$6:$B288,B288)&gt;1),"",B288)</f>
        <v/>
      </c>
      <c r="Q288" t="str">
        <f t="shared" si="12"/>
        <v/>
      </c>
      <c r="R288" t="str">
        <f t="shared" si="13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P289" t="str">
        <f>IF(OR(B289="",COUNTIF($B$6:$B289,B289)&gt;1),"",B289)</f>
        <v/>
      </c>
      <c r="Q289" t="str">
        <f t="shared" si="12"/>
        <v/>
      </c>
      <c r="R289" t="str">
        <f t="shared" si="13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P290" t="str">
        <f>IF(OR(B290="",COUNTIF($B$6:$B290,B290)&gt;1),"",B290)</f>
        <v/>
      </c>
      <c r="Q290" t="str">
        <f t="shared" si="12"/>
        <v/>
      </c>
      <c r="R290" t="str">
        <f t="shared" si="13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P291" t="str">
        <f>IF(OR(B291="",COUNTIF($B$6:$B291,B291)&gt;1),"",B291)</f>
        <v/>
      </c>
      <c r="Q291" t="str">
        <f t="shared" si="12"/>
        <v/>
      </c>
      <c r="R291" t="str">
        <f t="shared" si="13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P292" t="str">
        <f>IF(OR(B292="",COUNTIF($B$6:$B292,B292)&gt;1),"",B292)</f>
        <v/>
      </c>
      <c r="Q292" t="str">
        <f t="shared" si="12"/>
        <v/>
      </c>
      <c r="R292" t="str">
        <f t="shared" si="13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P293" t="str">
        <f>IF(OR(B293="",COUNTIF($B$6:$B293,B293)&gt;1),"",B293)</f>
        <v/>
      </c>
      <c r="Q293" t="str">
        <f t="shared" si="12"/>
        <v/>
      </c>
      <c r="R293" t="str">
        <f t="shared" si="13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P294" t="str">
        <f>IF(OR(B294="",COUNTIF($B$6:$B294,B294)&gt;1),"",B294)</f>
        <v/>
      </c>
      <c r="Q294" t="str">
        <f t="shared" si="12"/>
        <v/>
      </c>
      <c r="R294" t="str">
        <f t="shared" si="13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P295" t="str">
        <f>IF(OR(B295="",COUNTIF($B$6:$B295,B295)&gt;1),"",B295)</f>
        <v/>
      </c>
      <c r="Q295" t="str">
        <f t="shared" si="12"/>
        <v/>
      </c>
      <c r="R295" t="str">
        <f t="shared" si="13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P296" t="str">
        <f>IF(OR(B296="",COUNTIF($B$6:$B296,B296)&gt;1),"",B296)</f>
        <v/>
      </c>
      <c r="Q296" t="str">
        <f t="shared" si="12"/>
        <v/>
      </c>
      <c r="R296" t="str">
        <f t="shared" si="13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P297" t="str">
        <f>IF(OR(B297="",COUNTIF($B$6:$B297,B297)&gt;1),"",B297)</f>
        <v/>
      </c>
      <c r="Q297" t="str">
        <f t="shared" si="12"/>
        <v/>
      </c>
      <c r="R297" t="str">
        <f t="shared" si="13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P298" t="str">
        <f>IF(OR(B298="",COUNTIF($B$6:$B298,B298)&gt;1),"",B298)</f>
        <v/>
      </c>
      <c r="Q298" t="str">
        <f t="shared" si="12"/>
        <v/>
      </c>
      <c r="R298" t="str">
        <f t="shared" si="13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P299" t="str">
        <f>IF(OR(B299="",COUNTIF($B$6:$B299,B299)&gt;1),"",B299)</f>
        <v/>
      </c>
      <c r="Q299" t="str">
        <f t="shared" si="12"/>
        <v/>
      </c>
      <c r="R299" t="str">
        <f t="shared" si="13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P300" t="str">
        <f>IF(OR(B300="",COUNTIF($B$6:$B300,B300)&gt;1),"",B300)</f>
        <v/>
      </c>
      <c r="Q300" t="str">
        <f t="shared" si="12"/>
        <v/>
      </c>
      <c r="R300" t="str">
        <f t="shared" si="13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P301" t="str">
        <f>IF(OR(B301="",COUNTIF($B$6:$B301,B301)&gt;1),"",B301)</f>
        <v/>
      </c>
      <c r="Q301" t="str">
        <f t="shared" si="12"/>
        <v/>
      </c>
      <c r="R301" t="str">
        <f t="shared" si="13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P302" t="str">
        <f>IF(OR(B302="",COUNTIF($B$6:$B302,B302)&gt;1),"",B302)</f>
        <v/>
      </c>
      <c r="Q302" t="str">
        <f t="shared" si="12"/>
        <v/>
      </c>
      <c r="R302" t="str">
        <f t="shared" si="13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P303" t="str">
        <f>IF(OR(B303="",COUNTIF($B$6:$B303,B303)&gt;1),"",B303)</f>
        <v/>
      </c>
      <c r="Q303" t="str">
        <f t="shared" si="12"/>
        <v/>
      </c>
      <c r="R303" t="str">
        <f t="shared" si="13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P304" t="str">
        <f>IF(OR(B304="",COUNTIF($B$6:$B304,B304)&gt;1),"",B304)</f>
        <v/>
      </c>
      <c r="Q304" t="str">
        <f t="shared" si="12"/>
        <v/>
      </c>
      <c r="R304" t="str">
        <f t="shared" si="13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P305" t="str">
        <f>IF(OR(B305="",COUNTIF($B$6:$B305,B305)&gt;1),"",B305)</f>
        <v/>
      </c>
      <c r="Q305" t="str">
        <f t="shared" si="12"/>
        <v/>
      </c>
      <c r="R305" t="str">
        <f t="shared" si="13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/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390</v>
      </c>
    </row>
    <row r="2" spans="1:13" x14ac:dyDescent="0.25">
      <c r="A2" s="16" t="s">
        <v>391</v>
      </c>
    </row>
    <row r="4" spans="1:13" x14ac:dyDescent="0.25">
      <c r="A4" s="3" t="s">
        <v>371</v>
      </c>
      <c r="B4" s="3" t="s">
        <v>372</v>
      </c>
      <c r="C4" s="3" t="s">
        <v>392</v>
      </c>
      <c r="D4" s="3" t="s">
        <v>393</v>
      </c>
      <c r="E4" s="3" t="s">
        <v>394</v>
      </c>
      <c r="F4" s="3" t="s">
        <v>395</v>
      </c>
      <c r="G4" s="3" t="s">
        <v>396</v>
      </c>
      <c r="H4" s="3" t="s">
        <v>397</v>
      </c>
      <c r="I4" s="3" t="s">
        <v>398</v>
      </c>
      <c r="J4" s="3" t="s">
        <v>399</v>
      </c>
      <c r="K4" s="3" t="s">
        <v>400</v>
      </c>
      <c r="L4" s="3" t="s">
        <v>401</v>
      </c>
      <c r="M4" s="3" t="s">
        <v>402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James Wilson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Sarah Chen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Michael O'Brien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Emma Thompson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David Kumar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Rachel Stewart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Chris Martinez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Jessica Park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Andrew Collins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Laura Bennett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Tom Nguyen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Sophie Williams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Ryan O'Connor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Hannah Lee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Mark Davidson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Priya Sharma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Luke Anderson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Megan Taylor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Daniel Brown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Olivia White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Nathan Scott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Amy Richardson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Ben Harper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Chloe Morgan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Sam Mitchell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Emily Zhang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Jake Turner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Fiona Campbell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Alex Patel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Grace Murphy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Owen Phillips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Zoe Carter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Liam Hughes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Isabella Ross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Ethan Wright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Charlotte King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Josh Evans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Katie Adams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Will Jackson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Natalie Green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Harry Cooper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Rebecca Hall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Finn O'Sullivan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Ella Dixon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Patrick Ward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Amber Long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Callum Fraser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Molly Price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>
        <f>IF(B53="","",COUNTIFS($M$5:$M$104,"&gt;"&amp;M53,$B$5:$B$104,"&lt;&gt;")+COUNTIFS($M$5:$M53,M53,$B$5:$B53,"&lt;&gt;"))</f>
        <v>49</v>
      </c>
      <c r="B53" s="44" t="str">
        <f>IF(Participants!B53="","",Participants!B53)</f>
        <v>Declan Burke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>
        <f t="shared" si="1"/>
        <v>0</v>
      </c>
    </row>
    <row r="54" spans="1:13" x14ac:dyDescent="0.25">
      <c r="A54" s="43">
        <f>IF(B54="","",COUNTIFS($M$5:$M$104,"&gt;"&amp;M54,$B$5:$B$104,"&lt;&gt;")+COUNTIFS($M$5:$M54,M54,$B$5:$B54,"&lt;&gt;"))</f>
        <v>50</v>
      </c>
      <c r="B54" s="44" t="str">
        <f>IF(Participants!B54="","",Participants!B54)</f>
        <v>Sienna Cole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>
        <f t="shared" si="1"/>
        <v>0</v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32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2026-05-26T05:57:58Z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