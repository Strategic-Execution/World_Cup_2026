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ams" sheetId="2" state="visible" r:id="rId2"/>
    <sheet name="Participants" sheetId="3" state="visible" r:id="rId3"/>
    <sheet name="Allocation" sheetId="4" state="visible" r:id="rId4"/>
    <sheet name="Fixtures" sheetId="5" state="visible" r:id="rId5"/>
    <sheet name="Points" sheetId="6" state="visible" r:id="rId6"/>
    <sheet name="Leaderboard" sheetId="7" state="visible" r:id="rId7"/>
    <sheet name="Golden Boot" sheetId="8" state="visible" r:id="rId8"/>
    <sheet name="Quiz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i val="1"/>
    </font>
    <font>
      <i val="1"/>
      <color rgb="00FF0000"/>
    </font>
    <font>
      <b val="1"/>
      <color rgb="00808080"/>
      <sz val="9"/>
    </font>
    <font>
      <b val="1"/>
      <color rgb="001F4E79"/>
      <sz val="11"/>
    </font>
    <font>
      <i val="1"/>
      <sz val="9"/>
    </font>
    <font>
      <b val="1"/>
      <color rgb="00808080"/>
      <sz val="8"/>
    </font>
  </fonts>
  <fills count="1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BE9E7"/>
        <bgColor rgb="00FBE9E7"/>
      </patternFill>
    </fill>
    <fill>
      <patternFill patternType="solid">
        <fgColor rgb="00F1F8E9"/>
        <bgColor rgb="00F1F8E9"/>
      </patternFill>
    </fill>
    <fill>
      <patternFill patternType="solid">
        <fgColor rgb="00EDE7F6"/>
        <bgColor rgb="00EDE7F6"/>
      </patternFill>
    </fill>
    <fill>
      <patternFill patternType="solid">
        <fgColor rgb="00E8EAF6"/>
        <bgColor rgb="00E8EAF6"/>
      </patternFill>
    </fill>
    <fill>
      <patternFill patternType="solid">
        <fgColor rgb="00FCE4EC"/>
        <bgColor rgb="00FCE4EC"/>
      </patternFill>
    </fill>
    <fill>
      <patternFill patternType="solid">
        <fgColor rgb="00E0F2F1"/>
        <bgColor rgb="00E0F2F1"/>
      </patternFill>
    </fill>
    <fill>
      <patternFill patternType="solid">
        <fgColor rgb="00FFF8E1"/>
        <bgColor rgb="00FFF8E1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left"/>
    </xf>
    <xf numFmtId="0" fontId="0" fillId="14" borderId="1" applyAlignment="1" pivotButton="0" quotePrefix="0" xfId="0">
      <alignment horizontal="center"/>
    </xf>
    <xf numFmtId="0" fontId="0" fillId="14" borderId="1" applyAlignment="1" pivotButton="0" quotePrefix="0" xfId="0">
      <alignment horizontal="left"/>
    </xf>
    <xf numFmtId="0" fontId="0" fillId="13" borderId="1" applyAlignment="1" pivotButton="0" quotePrefix="0" xfId="0">
      <alignment horizontal="center"/>
    </xf>
    <xf numFmtId="0" fontId="0" fillId="1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0" borderId="0" pivotButton="0" quotePrefix="0" xfId="0"/>
    <xf numFmtId="0" fontId="0" fillId="15" borderId="1" applyAlignment="1" pivotButton="0" quotePrefix="0" xfId="0">
      <alignment horizontal="center"/>
    </xf>
    <xf numFmtId="0" fontId="0" fillId="15" borderId="1" applyAlignment="1" pivotButton="0" quotePrefix="0" xfId="0">
      <alignment horizontal="left"/>
    </xf>
    <xf numFmtId="0" fontId="0" fillId="16" borderId="1" applyAlignment="1" pivotButton="0" quotePrefix="0" xfId="0">
      <alignment horizontal="center"/>
    </xf>
    <xf numFmtId="0" fontId="0" fillId="16" borderId="1" applyAlignment="1" pivotButton="0" quotePrefix="0" xfId="0">
      <alignment horizontal="left"/>
    </xf>
    <xf numFmtId="0" fontId="0" fillId="17" borderId="1" applyAlignment="1" pivotButton="0" quotePrefix="0" xfId="0">
      <alignment horizontal="center"/>
    </xf>
    <xf numFmtId="0" fontId="0" fillId="17" borderId="1" applyAlignment="1" pivotButton="0" quotePrefix="0" xfId="0">
      <alignment horizontal="left"/>
    </xf>
    <xf numFmtId="0" fontId="7" fillId="0" borderId="0" pivotButton="0" quotePrefix="0" xfId="0"/>
    <xf numFmtId="0" fontId="2" fillId="2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8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FIFA WORLD CUP 2026 SWEEPSTAKE</t>
        </is>
      </c>
    </row>
    <row r="2">
      <c r="A2" t="inlineStr"/>
    </row>
    <row r="3">
      <c r="A3" s="2" t="inlineStr">
        <is>
          <t>HOW TO USE THIS WORKBOOK</t>
        </is>
      </c>
    </row>
    <row r="4">
      <c r="A4" t="inlineStr"/>
    </row>
    <row r="5">
      <c r="A5" s="2" t="inlineStr">
        <is>
          <t>STEP 1: Collect Participants</t>
        </is>
      </c>
    </row>
    <row r="6">
      <c r="A6" t="inlineStr">
        <is>
          <t>- Send out your Microsoft Form for registration</t>
        </is>
      </c>
    </row>
    <row r="7">
      <c r="A7" t="inlineStr">
        <is>
          <t>- Paste participant names into the 'Participants' sheet column B</t>
        </is>
      </c>
    </row>
    <row r="8">
      <c r="A8" t="inlineStr">
        <is>
          <t>- Have them nominate a Golden Boot player in column C</t>
        </is>
      </c>
    </row>
    <row r="9">
      <c r="A9" t="inlineStr"/>
    </row>
    <row r="10">
      <c r="A10" s="2" t="inlineStr">
        <is>
          <t>STEP 2: Allocate Teams</t>
        </is>
      </c>
    </row>
    <row r="11">
      <c r="A11" t="inlineStr">
        <is>
          <t>- Save this file as .xlsm (macro-enabled workbook)</t>
        </is>
      </c>
    </row>
    <row r="12">
      <c r="A12" t="inlineStr">
        <is>
          <t>- Import the VBA macro from 'allocation_macro.bas' (Alt+F11 &gt; Import)</t>
        </is>
      </c>
    </row>
    <row r="13">
      <c r="A13" t="inlineStr">
        <is>
          <t>- Run the macro 'AllocateTeams' (Alt+F8 &gt; AllocateTeams &gt; Run)</t>
        </is>
      </c>
    </row>
    <row r="14">
      <c r="A14" t="inlineStr">
        <is>
          <t>- Teams are randomly assigned in cycles of 48</t>
        </is>
      </c>
    </row>
    <row r="15">
      <c r="A15" t="inlineStr">
        <is>
          <t>- First 48 participants each get a unique team</t>
        </is>
      </c>
    </row>
    <row r="16">
      <c r="A16" t="inlineStr">
        <is>
          <t>- Participants 49+ get teams from a fresh cycle of 48</t>
        </is>
      </c>
    </row>
    <row r="17">
      <c r="A17" t="inlineStr"/>
    </row>
    <row r="18">
      <c r="A18" s="2" t="inlineStr">
        <is>
          <t>STEP 3: Enter Results</t>
        </is>
      </c>
    </row>
    <row r="19">
      <c r="A19" t="inlineStr">
        <is>
          <t>- Go to the 'Fixtures' sheet</t>
        </is>
      </c>
    </row>
    <row r="20">
      <c r="A20" t="inlineStr">
        <is>
          <t>- Enter Home Score in column E and Away Score in column F</t>
        </is>
      </c>
    </row>
    <row r="21">
      <c r="A21" t="inlineStr">
        <is>
          <t>- Points calculate automatically (Win=3, Draw=2, Loss=0)</t>
        </is>
      </c>
    </row>
    <row r="22">
      <c r="A22" t="inlineStr"/>
    </row>
    <row r="23">
      <c r="A23" s="2" t="inlineStr">
        <is>
          <t>STEP 4: View Leaderboard</t>
        </is>
      </c>
    </row>
    <row r="24">
      <c r="A24" t="inlineStr">
        <is>
          <t>- The 'Leaderboard' sheet shows each participant's total points</t>
        </is>
      </c>
    </row>
    <row r="25">
      <c r="A25" t="inlineStr">
        <is>
          <t>- Sort by column D (Total Points) descending after entering results</t>
        </is>
      </c>
    </row>
    <row r="26">
      <c r="A26" t="inlineStr">
        <is>
          <t>- Select data &gt; Data tab &gt; Sort &gt; Column D &gt; Largest to Smallest</t>
        </is>
      </c>
    </row>
    <row r="27">
      <c r="A27" t="inlineStr"/>
    </row>
    <row r="28">
      <c r="A28" s="2" t="inlineStr">
        <is>
          <t>STEP 5: Track Golden Boot</t>
        </is>
      </c>
    </row>
    <row r="29">
      <c r="A29" t="inlineStr">
        <is>
          <t>- After each match, log goal scorers in 'Golden Boot' sheet columns A-D</t>
        </is>
      </c>
    </row>
    <row r="30">
      <c r="A30" t="inlineStr">
        <is>
          <t>- Enter: Match #, Player Name, Team, Goals scored in that match</t>
        </is>
      </c>
    </row>
    <row r="31">
      <c r="A31" t="inlineStr">
        <is>
          <t>- One row per scorer per match (e.g., Mbappé scored 2 = one row with 2)</t>
        </is>
      </c>
    </row>
    <row r="32">
      <c r="A32" t="inlineStr">
        <is>
          <t>- Top Scorers table auto-ranks all players by total goals</t>
        </is>
      </c>
    </row>
    <row r="33">
      <c r="A33" t="inlineStr">
        <is>
          <t>- Participant Standings auto-matches nominations to goals</t>
        </is>
      </c>
    </row>
    <row r="34">
      <c r="A34" t="inlineStr">
        <is>
          <t>- Winner is shown at position 1 in Participant Standings</t>
        </is>
      </c>
    </row>
    <row r="35">
      <c r="A35" t="inlineStr"/>
    </row>
    <row r="36">
      <c r="A36" s="2" t="inlineStr">
        <is>
          <t>STEP 6: Knockout Stage</t>
        </is>
      </c>
    </row>
    <row r="37">
      <c r="A37" t="inlineStr">
        <is>
          <t>- Knockout fixtures (R32 onwards) have placeholder team names</t>
        </is>
      </c>
    </row>
    <row r="38">
      <c r="A38" t="inlineStr">
        <is>
          <t xml:space="preserve">  e.g. '1st Group A', '2nd Group B', '3rd ABCDF', 'W74', 'L101'</t>
        </is>
      </c>
    </row>
    <row r="39">
      <c r="A39" t="inlineStr">
        <is>
          <t>- Once the group stage finishes, replace these with actual team names:</t>
        </is>
      </c>
    </row>
    <row r="40">
      <c r="A40" t="inlineStr">
        <is>
          <t xml:space="preserve">  1. Go to the 'Fixtures' sheet</t>
        </is>
      </c>
    </row>
    <row r="41">
      <c r="A41" t="inlineStr">
        <is>
          <t xml:space="preserve">  2. For R32 matches: replace '1st Group A' with the team that finished</t>
        </is>
      </c>
    </row>
    <row r="42">
      <c r="A42" t="inlineStr">
        <is>
          <t xml:space="preserve">     1st in Group A, '2nd Group B' with 2nd in Group B, etc.</t>
        </is>
      </c>
    </row>
    <row r="43">
      <c r="A43" t="inlineStr">
        <is>
          <t xml:space="preserve">  3. '3rd ABCDF' means the best 3rd-place team from groups A/B/C/D/F</t>
        </is>
      </c>
    </row>
    <row r="44">
      <c r="A44" t="inlineStr">
        <is>
          <t xml:space="preserve">     — FIFA publishes the exact 3rd-place bracket after group stage ends</t>
        </is>
      </c>
    </row>
    <row r="45">
      <c r="A45" t="inlineStr">
        <is>
          <t xml:space="preserve">  4. For R16 onwards: 'W74' = winner of match 74, 'L101' = loser of match 101</t>
        </is>
      </c>
    </row>
    <row r="46">
      <c r="A46" t="inlineStr">
        <is>
          <t xml:space="preserve">     — Update these after each round finishes</t>
        </is>
      </c>
    </row>
    <row r="47">
      <c r="A47" t="inlineStr">
        <is>
          <t>- Points still work the same — just enter scores as normal once teams are filled in</t>
        </is>
      </c>
    </row>
    <row r="48">
      <c r="A48" t="inlineStr">
        <is>
          <t>- The Leaderboard updates automatically as knockout scores are entered</t>
        </is>
      </c>
    </row>
    <row r="49">
      <c r="A49" t="inlineStr"/>
    </row>
    <row r="50">
      <c r="A50" s="2" t="inlineStr">
        <is>
          <t>STEP 7: Weekly Quiz</t>
        </is>
      </c>
    </row>
    <row r="51">
      <c r="A51" t="inlineStr">
        <is>
          <t>- Go to the 'Quiz' sheet</t>
        </is>
      </c>
    </row>
    <row r="52">
      <c r="A52" t="inlineStr">
        <is>
          <t>- Each week, enter participant scores in the corresponding Wk column</t>
        </is>
      </c>
    </row>
    <row r="53">
      <c r="A53" t="inlineStr">
        <is>
          <t>- The Total column sums all weeks automatically</t>
        </is>
      </c>
    </row>
    <row r="54">
      <c r="A54" t="inlineStr">
        <is>
          <t>- Rank updates automatically — highest cumulative score = 1st</t>
        </is>
      </c>
    </row>
    <row r="55">
      <c r="A55" t="inlineStr">
        <is>
          <t>- Up to 10 weeks supported (add more columns if needed)</t>
        </is>
      </c>
    </row>
    <row r="56">
      <c r="A56" t="inlineStr"/>
    </row>
    <row r="57">
      <c r="A57" s="2" t="inlineStr">
        <is>
          <t>POINTS SYSTEM</t>
        </is>
      </c>
    </row>
    <row r="58">
      <c r="A58" t="inlineStr">
        <is>
          <t>- Win = 3 points</t>
        </is>
      </c>
    </row>
    <row r="59">
      <c r="A59" t="inlineStr">
        <is>
          <t>- Draw = 2 points (both teams get 2 points)</t>
        </is>
      </c>
    </row>
    <row r="60">
      <c r="A60" t="inlineStr">
        <is>
          <t>- Loss = 0 points</t>
        </is>
      </c>
    </row>
    <row r="61">
      <c r="A61" t="inlineStr">
        <is>
          <t>- Points accumulate across ALL matches (group + knockout)</t>
        </is>
      </c>
    </row>
    <row r="62">
      <c r="A62" t="inlineStr"/>
    </row>
    <row r="63">
      <c r="A63" s="2" t="inlineStr">
        <is>
          <t>NOTES</t>
        </is>
      </c>
    </row>
    <row r="64">
      <c r="A64" t="inlineStr">
        <is>
          <t>- Knockout matches: if it goes to extra time, the score at full time</t>
        </is>
      </c>
    </row>
    <row r="65">
      <c r="A65" t="inlineStr">
        <is>
          <t xml:space="preserve">  (including extra time) counts. Penalty shootouts count as a draw.</t>
        </is>
      </c>
    </row>
    <row r="66">
      <c r="A66" t="inlineStr">
        <is>
          <t>- If you have &gt;48 participants, each person still gets ONE team.</t>
        </is>
      </c>
    </row>
    <row r="67">
      <c r="A67" t="inlineStr">
        <is>
          <t xml:space="preserve">  Teams can be shared across cycles (e.g., 2 people may have Brazil).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</cols>
  <sheetData>
    <row r="1">
      <c r="A1" s="1" t="inlineStr">
        <is>
          <t>FIFA World Cup 2026 - All 48 Teams</t>
        </is>
      </c>
    </row>
    <row r="2"/>
    <row r="3">
      <c r="A3" s="3" t="inlineStr">
        <is>
          <t>#</t>
        </is>
      </c>
      <c r="B3" s="3" t="inlineStr">
        <is>
          <t>Team</t>
        </is>
      </c>
      <c r="C3" s="3" t="inlineStr">
        <is>
          <t>Group</t>
        </is>
      </c>
    </row>
    <row r="4">
      <c r="A4" s="4" t="n">
        <v>1</v>
      </c>
      <c r="B4" s="4" t="inlineStr">
        <is>
          <t>Mexico</t>
        </is>
      </c>
      <c r="C4" s="4" t="inlineStr">
        <is>
          <t>Group A</t>
        </is>
      </c>
    </row>
    <row r="5">
      <c r="A5" s="4" t="n">
        <v>2</v>
      </c>
      <c r="B5" s="4" t="inlineStr">
        <is>
          <t>South Africa</t>
        </is>
      </c>
      <c r="C5" s="4" t="inlineStr">
        <is>
          <t>Group A</t>
        </is>
      </c>
    </row>
    <row r="6">
      <c r="A6" s="4" t="n">
        <v>3</v>
      </c>
      <c r="B6" s="4" t="inlineStr">
        <is>
          <t>South Korea</t>
        </is>
      </c>
      <c r="C6" s="4" t="inlineStr">
        <is>
          <t>Group A</t>
        </is>
      </c>
    </row>
    <row r="7">
      <c r="A7" s="4" t="n">
        <v>4</v>
      </c>
      <c r="B7" s="4" t="inlineStr">
        <is>
          <t>Czechia</t>
        </is>
      </c>
      <c r="C7" s="4" t="inlineStr">
        <is>
          <t>Group A</t>
        </is>
      </c>
    </row>
    <row r="8">
      <c r="A8" s="5" t="n">
        <v>5</v>
      </c>
      <c r="B8" s="5" t="inlineStr">
        <is>
          <t>Canada</t>
        </is>
      </c>
      <c r="C8" s="5" t="inlineStr">
        <is>
          <t>Group B</t>
        </is>
      </c>
    </row>
    <row r="9">
      <c r="A9" s="5" t="n">
        <v>6</v>
      </c>
      <c r="B9" s="5" t="inlineStr">
        <is>
          <t>Bosnia and Herzegovina</t>
        </is>
      </c>
      <c r="C9" s="5" t="inlineStr">
        <is>
          <t>Group B</t>
        </is>
      </c>
    </row>
    <row r="10">
      <c r="A10" s="5" t="n">
        <v>7</v>
      </c>
      <c r="B10" s="5" t="inlineStr">
        <is>
          <t>Qatar</t>
        </is>
      </c>
      <c r="C10" s="5" t="inlineStr">
        <is>
          <t>Group B</t>
        </is>
      </c>
    </row>
    <row r="11">
      <c r="A11" s="5" t="n">
        <v>8</v>
      </c>
      <c r="B11" s="5" t="inlineStr">
        <is>
          <t>Switzerland</t>
        </is>
      </c>
      <c r="C11" s="5" t="inlineStr">
        <is>
          <t>Group B</t>
        </is>
      </c>
    </row>
    <row r="12">
      <c r="A12" s="6" t="n">
        <v>9</v>
      </c>
      <c r="B12" s="6" t="inlineStr">
        <is>
          <t>Brazil</t>
        </is>
      </c>
      <c r="C12" s="6" t="inlineStr">
        <is>
          <t>Group C</t>
        </is>
      </c>
    </row>
    <row r="13">
      <c r="A13" s="6" t="n">
        <v>10</v>
      </c>
      <c r="B13" s="6" t="inlineStr">
        <is>
          <t>Morocco</t>
        </is>
      </c>
      <c r="C13" s="6" t="inlineStr">
        <is>
          <t>Group C</t>
        </is>
      </c>
    </row>
    <row r="14">
      <c r="A14" s="6" t="n">
        <v>11</v>
      </c>
      <c r="B14" s="6" t="inlineStr">
        <is>
          <t>Haiti</t>
        </is>
      </c>
      <c r="C14" s="6" t="inlineStr">
        <is>
          <t>Group C</t>
        </is>
      </c>
    </row>
    <row r="15">
      <c r="A15" s="6" t="n">
        <v>12</v>
      </c>
      <c r="B15" s="6" t="inlineStr">
        <is>
          <t>Scotland</t>
        </is>
      </c>
      <c r="C15" s="6" t="inlineStr">
        <is>
          <t>Group C</t>
        </is>
      </c>
    </row>
    <row r="16">
      <c r="A16" s="7" t="n">
        <v>13</v>
      </c>
      <c r="B16" s="7" t="inlineStr">
        <is>
          <t>United States</t>
        </is>
      </c>
      <c r="C16" s="7" t="inlineStr">
        <is>
          <t>Group D</t>
        </is>
      </c>
    </row>
    <row r="17">
      <c r="A17" s="7" t="n">
        <v>14</v>
      </c>
      <c r="B17" s="7" t="inlineStr">
        <is>
          <t>Paraguay</t>
        </is>
      </c>
      <c r="C17" s="7" t="inlineStr">
        <is>
          <t>Group D</t>
        </is>
      </c>
    </row>
    <row r="18">
      <c r="A18" s="7" t="n">
        <v>15</v>
      </c>
      <c r="B18" s="7" t="inlineStr">
        <is>
          <t>Australia</t>
        </is>
      </c>
      <c r="C18" s="7" t="inlineStr">
        <is>
          <t>Group D</t>
        </is>
      </c>
    </row>
    <row r="19">
      <c r="A19" s="7" t="n">
        <v>16</v>
      </c>
      <c r="B19" s="7" t="inlineStr">
        <is>
          <t>Türkiye</t>
        </is>
      </c>
      <c r="C19" s="7" t="inlineStr">
        <is>
          <t>Group D</t>
        </is>
      </c>
    </row>
    <row r="20">
      <c r="A20" s="8" t="n">
        <v>17</v>
      </c>
      <c r="B20" s="8" t="inlineStr">
        <is>
          <t>Germany</t>
        </is>
      </c>
      <c r="C20" s="8" t="inlineStr">
        <is>
          <t>Group E</t>
        </is>
      </c>
    </row>
    <row r="21">
      <c r="A21" s="8" t="n">
        <v>18</v>
      </c>
      <c r="B21" s="8" t="inlineStr">
        <is>
          <t>Curaçao</t>
        </is>
      </c>
      <c r="C21" s="8" t="inlineStr">
        <is>
          <t>Group E</t>
        </is>
      </c>
    </row>
    <row r="22">
      <c r="A22" s="8" t="n">
        <v>19</v>
      </c>
      <c r="B22" s="8" t="inlineStr">
        <is>
          <t>Ivory Coast</t>
        </is>
      </c>
      <c r="C22" s="8" t="inlineStr">
        <is>
          <t>Group E</t>
        </is>
      </c>
    </row>
    <row r="23">
      <c r="A23" s="8" t="n">
        <v>20</v>
      </c>
      <c r="B23" s="8" t="inlineStr">
        <is>
          <t>Ecuador</t>
        </is>
      </c>
      <c r="C23" s="8" t="inlineStr">
        <is>
          <t>Group E</t>
        </is>
      </c>
    </row>
    <row r="24">
      <c r="A24" s="9" t="n">
        <v>21</v>
      </c>
      <c r="B24" s="9" t="inlineStr">
        <is>
          <t>Netherlands</t>
        </is>
      </c>
      <c r="C24" s="9" t="inlineStr">
        <is>
          <t>Group F</t>
        </is>
      </c>
    </row>
    <row r="25">
      <c r="A25" s="9" t="n">
        <v>22</v>
      </c>
      <c r="B25" s="9" t="inlineStr">
        <is>
          <t>Japan</t>
        </is>
      </c>
      <c r="C25" s="9" t="inlineStr">
        <is>
          <t>Group F</t>
        </is>
      </c>
    </row>
    <row r="26">
      <c r="A26" s="9" t="n">
        <v>23</v>
      </c>
      <c r="B26" s="9" t="inlineStr">
        <is>
          <t>Sweden</t>
        </is>
      </c>
      <c r="C26" s="9" t="inlineStr">
        <is>
          <t>Group F</t>
        </is>
      </c>
    </row>
    <row r="27">
      <c r="A27" s="9" t="n">
        <v>24</v>
      </c>
      <c r="B27" s="9" t="inlineStr">
        <is>
          <t>Tunisia</t>
        </is>
      </c>
      <c r="C27" s="9" t="inlineStr">
        <is>
          <t>Group F</t>
        </is>
      </c>
    </row>
    <row r="28">
      <c r="A28" s="10" t="n">
        <v>25</v>
      </c>
      <c r="B28" s="10" t="inlineStr">
        <is>
          <t>Belgium</t>
        </is>
      </c>
      <c r="C28" s="10" t="inlineStr">
        <is>
          <t>Group G</t>
        </is>
      </c>
    </row>
    <row r="29">
      <c r="A29" s="10" t="n">
        <v>26</v>
      </c>
      <c r="B29" s="10" t="inlineStr">
        <is>
          <t>Egypt</t>
        </is>
      </c>
      <c r="C29" s="10" t="inlineStr">
        <is>
          <t>Group G</t>
        </is>
      </c>
    </row>
    <row r="30">
      <c r="A30" s="10" t="n">
        <v>27</v>
      </c>
      <c r="B30" s="10" t="inlineStr">
        <is>
          <t>Iran</t>
        </is>
      </c>
      <c r="C30" s="10" t="inlineStr">
        <is>
          <t>Group G</t>
        </is>
      </c>
    </row>
    <row r="31">
      <c r="A31" s="10" t="n">
        <v>28</v>
      </c>
      <c r="B31" s="10" t="inlineStr">
        <is>
          <t>New Zealand</t>
        </is>
      </c>
      <c r="C31" s="10" t="inlineStr">
        <is>
          <t>Group G</t>
        </is>
      </c>
    </row>
    <row r="32">
      <c r="A32" s="11" t="n">
        <v>29</v>
      </c>
      <c r="B32" s="11" t="inlineStr">
        <is>
          <t>Spain</t>
        </is>
      </c>
      <c r="C32" s="11" t="inlineStr">
        <is>
          <t>Group H</t>
        </is>
      </c>
    </row>
    <row r="33">
      <c r="A33" s="11" t="n">
        <v>30</v>
      </c>
      <c r="B33" s="11" t="inlineStr">
        <is>
          <t>Cape Verde</t>
        </is>
      </c>
      <c r="C33" s="11" t="inlineStr">
        <is>
          <t>Group H</t>
        </is>
      </c>
    </row>
    <row r="34">
      <c r="A34" s="11" t="n">
        <v>31</v>
      </c>
      <c r="B34" s="11" t="inlineStr">
        <is>
          <t>Saudi Arabia</t>
        </is>
      </c>
      <c r="C34" s="11" t="inlineStr">
        <is>
          <t>Group H</t>
        </is>
      </c>
    </row>
    <row r="35">
      <c r="A35" s="11" t="n">
        <v>32</v>
      </c>
      <c r="B35" s="11" t="inlineStr">
        <is>
          <t>Uruguay</t>
        </is>
      </c>
      <c r="C35" s="11" t="inlineStr">
        <is>
          <t>Group H</t>
        </is>
      </c>
    </row>
    <row r="36">
      <c r="A36" s="12" t="n">
        <v>33</v>
      </c>
      <c r="B36" s="12" t="inlineStr">
        <is>
          <t>France</t>
        </is>
      </c>
      <c r="C36" s="12" t="inlineStr">
        <is>
          <t>Group I</t>
        </is>
      </c>
    </row>
    <row r="37">
      <c r="A37" s="12" t="n">
        <v>34</v>
      </c>
      <c r="B37" s="12" t="inlineStr">
        <is>
          <t>Senegal</t>
        </is>
      </c>
      <c r="C37" s="12" t="inlineStr">
        <is>
          <t>Group I</t>
        </is>
      </c>
    </row>
    <row r="38">
      <c r="A38" s="12" t="n">
        <v>35</v>
      </c>
      <c r="B38" s="12" t="inlineStr">
        <is>
          <t>Iraq</t>
        </is>
      </c>
      <c r="C38" s="12" t="inlineStr">
        <is>
          <t>Group I</t>
        </is>
      </c>
    </row>
    <row r="39">
      <c r="A39" s="12" t="n">
        <v>36</v>
      </c>
      <c r="B39" s="12" t="inlineStr">
        <is>
          <t>Norway</t>
        </is>
      </c>
      <c r="C39" s="12" t="inlineStr">
        <is>
          <t>Group I</t>
        </is>
      </c>
    </row>
    <row r="40">
      <c r="A40" s="13" t="n">
        <v>37</v>
      </c>
      <c r="B40" s="13" t="inlineStr">
        <is>
          <t>Argentina</t>
        </is>
      </c>
      <c r="C40" s="13" t="inlineStr">
        <is>
          <t>Group J</t>
        </is>
      </c>
    </row>
    <row r="41">
      <c r="A41" s="13" t="n">
        <v>38</v>
      </c>
      <c r="B41" s="13" t="inlineStr">
        <is>
          <t>Algeria</t>
        </is>
      </c>
      <c r="C41" s="13" t="inlineStr">
        <is>
          <t>Group J</t>
        </is>
      </c>
    </row>
    <row r="42">
      <c r="A42" s="13" t="n">
        <v>39</v>
      </c>
      <c r="B42" s="13" t="inlineStr">
        <is>
          <t>Austria</t>
        </is>
      </c>
      <c r="C42" s="13" t="inlineStr">
        <is>
          <t>Group J</t>
        </is>
      </c>
    </row>
    <row r="43">
      <c r="A43" s="13" t="n">
        <v>40</v>
      </c>
      <c r="B43" s="13" t="inlineStr">
        <is>
          <t>Jordan</t>
        </is>
      </c>
      <c r="C43" s="13" t="inlineStr">
        <is>
          <t>Group J</t>
        </is>
      </c>
    </row>
    <row r="44">
      <c r="A44" s="14" t="n">
        <v>41</v>
      </c>
      <c r="B44" s="14" t="inlineStr">
        <is>
          <t>Portugal</t>
        </is>
      </c>
      <c r="C44" s="14" t="inlineStr">
        <is>
          <t>Group K</t>
        </is>
      </c>
    </row>
    <row r="45">
      <c r="A45" s="14" t="n">
        <v>42</v>
      </c>
      <c r="B45" s="14" t="inlineStr">
        <is>
          <t>DR Congo</t>
        </is>
      </c>
      <c r="C45" s="14" t="inlineStr">
        <is>
          <t>Group K</t>
        </is>
      </c>
    </row>
    <row r="46">
      <c r="A46" s="14" t="n">
        <v>43</v>
      </c>
      <c r="B46" s="14" t="inlineStr">
        <is>
          <t>Uzbekistan</t>
        </is>
      </c>
      <c r="C46" s="14" t="inlineStr">
        <is>
          <t>Group K</t>
        </is>
      </c>
    </row>
    <row r="47">
      <c r="A47" s="14" t="n">
        <v>44</v>
      </c>
      <c r="B47" s="14" t="inlineStr">
        <is>
          <t>Colombia</t>
        </is>
      </c>
      <c r="C47" s="14" t="inlineStr">
        <is>
          <t>Group K</t>
        </is>
      </c>
    </row>
    <row r="48">
      <c r="A48" s="15" t="n">
        <v>45</v>
      </c>
      <c r="B48" s="15" t="inlineStr">
        <is>
          <t>England</t>
        </is>
      </c>
      <c r="C48" s="15" t="inlineStr">
        <is>
          <t>Group L</t>
        </is>
      </c>
    </row>
    <row r="49">
      <c r="A49" s="15" t="n">
        <v>46</v>
      </c>
      <c r="B49" s="15" t="inlineStr">
        <is>
          <t>Croatia</t>
        </is>
      </c>
      <c r="C49" s="15" t="inlineStr">
        <is>
          <t>Group L</t>
        </is>
      </c>
    </row>
    <row r="50">
      <c r="A50" s="15" t="n">
        <v>47</v>
      </c>
      <c r="B50" s="15" t="inlineStr">
        <is>
          <t>Ghana</t>
        </is>
      </c>
      <c r="C50" s="15" t="inlineStr">
        <is>
          <t>Group L</t>
        </is>
      </c>
    </row>
    <row r="51">
      <c r="A51" s="15" t="n">
        <v>48</v>
      </c>
      <c r="B51" s="15" t="inlineStr">
        <is>
          <t>Panama</t>
        </is>
      </c>
      <c r="C51" s="15" t="inlineStr">
        <is>
          <t>Group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</cols>
  <sheetData>
    <row r="1">
      <c r="A1" s="1" t="inlineStr">
        <is>
          <t>Participant Registration</t>
        </is>
      </c>
    </row>
    <row r="2">
      <c r="A2" s="16" t="inlineStr">
        <is>
          <t>Paste names from Microsoft Forms below. One name per row.</t>
        </is>
      </c>
    </row>
    <row r="4">
      <c r="A4" s="3" t="inlineStr">
        <is>
          <t>#</t>
        </is>
      </c>
      <c r="B4" s="3" t="inlineStr">
        <is>
          <t>Participant Name</t>
        </is>
      </c>
      <c r="C4" s="3" t="inlineStr">
        <is>
          <t>Golden Boot Nomination</t>
        </is>
      </c>
    </row>
    <row r="5">
      <c r="A5" s="17" t="n">
        <v>1</v>
      </c>
      <c r="B5" t="inlineStr">
        <is>
          <t>James Wilson</t>
        </is>
      </c>
      <c r="C5" t="inlineStr">
        <is>
          <t>Kylian Mbappé</t>
        </is>
      </c>
    </row>
    <row r="6">
      <c r="A6" s="17" t="n">
        <v>2</v>
      </c>
      <c r="B6" t="inlineStr">
        <is>
          <t>Sarah Chen</t>
        </is>
      </c>
      <c r="C6" t="inlineStr">
        <is>
          <t>Lionel Messi</t>
        </is>
      </c>
    </row>
    <row r="7">
      <c r="A7" s="17" t="n">
        <v>3</v>
      </c>
      <c r="B7" t="inlineStr">
        <is>
          <t>Michael O'Brien</t>
        </is>
      </c>
      <c r="C7" t="inlineStr">
        <is>
          <t>Erling Haaland</t>
        </is>
      </c>
    </row>
    <row r="8">
      <c r="A8" s="17" t="n">
        <v>4</v>
      </c>
      <c r="B8" t="inlineStr">
        <is>
          <t>Emma Thompson</t>
        </is>
      </c>
      <c r="C8" t="inlineStr">
        <is>
          <t>Vinícius Júnior</t>
        </is>
      </c>
    </row>
    <row r="9">
      <c r="A9" s="17" t="n">
        <v>5</v>
      </c>
      <c r="B9" t="inlineStr">
        <is>
          <t>David Kumar</t>
        </is>
      </c>
      <c r="C9" t="inlineStr">
        <is>
          <t>Harry Kane</t>
        </is>
      </c>
    </row>
    <row r="10">
      <c r="A10" s="17" t="n">
        <v>6</v>
      </c>
      <c r="B10" t="inlineStr">
        <is>
          <t>Rachel Stewart</t>
        </is>
      </c>
      <c r="C10" t="inlineStr">
        <is>
          <t>Mohamed Salah</t>
        </is>
      </c>
    </row>
    <row r="11">
      <c r="A11" s="17" t="n">
        <v>7</v>
      </c>
      <c r="B11" t="inlineStr">
        <is>
          <t>Chris Martinez</t>
        </is>
      </c>
      <c r="C11" t="inlineStr">
        <is>
          <t>Jude Bellingham</t>
        </is>
      </c>
    </row>
    <row r="12">
      <c r="A12" s="17" t="n">
        <v>8</v>
      </c>
      <c r="B12" t="inlineStr">
        <is>
          <t>Jessica Park</t>
        </is>
      </c>
      <c r="C12" t="inlineStr">
        <is>
          <t>Lamine Yamal</t>
        </is>
      </c>
    </row>
    <row r="13">
      <c r="A13" s="17" t="n">
        <v>9</v>
      </c>
      <c r="B13" t="inlineStr">
        <is>
          <t>Andrew Collins</t>
        </is>
      </c>
      <c r="C13" t="inlineStr">
        <is>
          <t>Bukayo Saka</t>
        </is>
      </c>
    </row>
    <row r="14">
      <c r="A14" s="17" t="n">
        <v>10</v>
      </c>
      <c r="B14" t="inlineStr">
        <is>
          <t>Laura Bennett</t>
        </is>
      </c>
      <c r="C14" t="inlineStr">
        <is>
          <t>Victor Osimhen</t>
        </is>
      </c>
    </row>
    <row r="15">
      <c r="A15" s="17" t="n">
        <v>11</v>
      </c>
      <c r="B15" t="inlineStr">
        <is>
          <t>Tom Nguyen</t>
        </is>
      </c>
      <c r="C15" t="inlineStr">
        <is>
          <t>Cristiano Ronaldo</t>
        </is>
      </c>
    </row>
    <row r="16">
      <c r="A16" s="17" t="n">
        <v>12</v>
      </c>
      <c r="B16" t="inlineStr">
        <is>
          <t>Sophie Williams</t>
        </is>
      </c>
      <c r="C16" t="inlineStr">
        <is>
          <t>Robert Lewandowski</t>
        </is>
      </c>
    </row>
    <row r="17">
      <c r="A17" s="17" t="n">
        <v>13</v>
      </c>
      <c r="B17" t="inlineStr">
        <is>
          <t>Ryan O'Connor</t>
        </is>
      </c>
      <c r="C17" t="inlineStr">
        <is>
          <t>Darwin Núñez</t>
        </is>
      </c>
    </row>
    <row r="18">
      <c r="A18" s="17" t="n">
        <v>14</v>
      </c>
      <c r="B18" t="inlineStr">
        <is>
          <t>Hannah Lee</t>
        </is>
      </c>
      <c r="C18" t="inlineStr">
        <is>
          <t>Julian Álvarez</t>
        </is>
      </c>
    </row>
    <row r="19">
      <c r="A19" s="17" t="n">
        <v>15</v>
      </c>
      <c r="B19" t="inlineStr">
        <is>
          <t>Mark Davidson</t>
        </is>
      </c>
      <c r="C19" t="inlineStr">
        <is>
          <t>Romelu Lukaku</t>
        </is>
      </c>
    </row>
    <row r="20">
      <c r="A20" s="17" t="n">
        <v>16</v>
      </c>
      <c r="B20" t="inlineStr">
        <is>
          <t>Priya Sharma</t>
        </is>
      </c>
      <c r="C20" t="inlineStr">
        <is>
          <t>Cody Gakpo</t>
        </is>
      </c>
    </row>
    <row r="21">
      <c r="A21" s="17" t="n">
        <v>17</v>
      </c>
      <c r="B21" t="inlineStr">
        <is>
          <t>Luke Anderson</t>
        </is>
      </c>
      <c r="C21" t="inlineStr">
        <is>
          <t>Alexander Isak</t>
        </is>
      </c>
    </row>
    <row r="22">
      <c r="A22" s="17" t="n">
        <v>18</v>
      </c>
      <c r="B22" t="inlineStr">
        <is>
          <t>Megan Taylor</t>
        </is>
      </c>
      <c r="C22" t="inlineStr">
        <is>
          <t>Randal Kolo Muani</t>
        </is>
      </c>
    </row>
    <row r="23">
      <c r="A23" s="17" t="n">
        <v>19</v>
      </c>
      <c r="B23" t="inlineStr">
        <is>
          <t>Daniel Brown</t>
        </is>
      </c>
      <c r="C23" t="inlineStr">
        <is>
          <t>Kai Havertz</t>
        </is>
      </c>
    </row>
    <row r="24">
      <c r="A24" s="17" t="n">
        <v>20</v>
      </c>
      <c r="B24" t="inlineStr">
        <is>
          <t>Olivia White</t>
        </is>
      </c>
      <c r="C24" t="inlineStr">
        <is>
          <t>Dusan Vlahovic</t>
        </is>
      </c>
    </row>
    <row r="25">
      <c r="A25" s="17" t="n">
        <v>21</v>
      </c>
      <c r="B25" t="inlineStr">
        <is>
          <t>Nathan Scott</t>
        </is>
      </c>
      <c r="C25" t="inlineStr">
        <is>
          <t>Rasmus Højlund</t>
        </is>
      </c>
    </row>
    <row r="26">
      <c r="A26" s="17" t="n">
        <v>22</v>
      </c>
      <c r="B26" t="inlineStr">
        <is>
          <t>Amy Richardson</t>
        </is>
      </c>
      <c r="C26" t="inlineStr">
        <is>
          <t>Ollie Watkins</t>
        </is>
      </c>
    </row>
    <row r="27">
      <c r="A27" s="17" t="n">
        <v>23</v>
      </c>
      <c r="B27" t="inlineStr">
        <is>
          <t>Ben Harper</t>
        </is>
      </c>
      <c r="C27" t="inlineStr">
        <is>
          <t>Lautaro Martínez</t>
        </is>
      </c>
    </row>
    <row r="28">
      <c r="A28" s="17" t="n">
        <v>24</v>
      </c>
      <c r="B28" t="inlineStr">
        <is>
          <t>Chloe Morgan</t>
        </is>
      </c>
      <c r="C28" t="inlineStr">
        <is>
          <t>Florian Wirtz</t>
        </is>
      </c>
    </row>
    <row r="29">
      <c r="A29" s="17" t="n">
        <v>25</v>
      </c>
      <c r="B29" t="inlineStr">
        <is>
          <t>Sam Mitchell</t>
        </is>
      </c>
      <c r="C29" t="inlineStr">
        <is>
          <t>Son Heung-min</t>
        </is>
      </c>
    </row>
    <row r="30">
      <c r="A30" s="17" t="n">
        <v>26</v>
      </c>
      <c r="B30" t="inlineStr">
        <is>
          <t>Emily Zhang</t>
        </is>
      </c>
      <c r="C30" t="inlineStr">
        <is>
          <t>Marcus Rashford</t>
        </is>
      </c>
    </row>
    <row r="31">
      <c r="A31" s="17" t="n">
        <v>27</v>
      </c>
      <c r="B31" t="inlineStr">
        <is>
          <t>Jake Turner</t>
        </is>
      </c>
      <c r="C31" t="inlineStr">
        <is>
          <t>Antoine Griezmann</t>
        </is>
      </c>
    </row>
    <row r="32">
      <c r="A32" s="17" t="n">
        <v>28</v>
      </c>
      <c r="B32" t="inlineStr">
        <is>
          <t>Fiona Campbell</t>
        </is>
      </c>
      <c r="C32" t="inlineStr">
        <is>
          <t>Serhou Guirassy</t>
        </is>
      </c>
    </row>
    <row r="33">
      <c r="A33" s="17" t="n">
        <v>29</v>
      </c>
      <c r="B33" t="inlineStr">
        <is>
          <t>Alex Patel</t>
        </is>
      </c>
      <c r="C33" t="inlineStr">
        <is>
          <t>Álvaro Morata</t>
        </is>
      </c>
    </row>
    <row r="34">
      <c r="A34" s="17" t="n">
        <v>30</v>
      </c>
      <c r="B34" t="inlineStr">
        <is>
          <t>Grace Murphy</t>
        </is>
      </c>
      <c r="C34" t="inlineStr">
        <is>
          <t>Ademola Lookman</t>
        </is>
      </c>
    </row>
    <row r="35">
      <c r="A35" s="17" t="n">
        <v>31</v>
      </c>
      <c r="B35" t="inlineStr">
        <is>
          <t>Owen Phillips</t>
        </is>
      </c>
      <c r="C35" t="inlineStr">
        <is>
          <t>Jonathan David</t>
        </is>
      </c>
    </row>
    <row r="36">
      <c r="A36" s="17" t="n">
        <v>32</v>
      </c>
      <c r="B36" t="inlineStr">
        <is>
          <t>Zoe Carter</t>
        </is>
      </c>
      <c r="C36" t="inlineStr">
        <is>
          <t>Luis Díaz</t>
        </is>
      </c>
    </row>
    <row r="37">
      <c r="A37" s="17" t="n">
        <v>33</v>
      </c>
      <c r="B37" t="inlineStr">
        <is>
          <t>Liam Hughes</t>
        </is>
      </c>
      <c r="C37" t="inlineStr">
        <is>
          <t>Memphis Depay</t>
        </is>
      </c>
    </row>
    <row r="38">
      <c r="A38" s="17" t="n">
        <v>34</v>
      </c>
      <c r="B38" t="inlineStr">
        <is>
          <t>Isabella Ross</t>
        </is>
      </c>
      <c r="C38" t="inlineStr">
        <is>
          <t>Nicolas Jackson</t>
        </is>
      </c>
    </row>
    <row r="39">
      <c r="A39" s="17" t="n">
        <v>35</v>
      </c>
      <c r="B39" t="inlineStr">
        <is>
          <t>Ethan Wright</t>
        </is>
      </c>
      <c r="C39" t="inlineStr">
        <is>
          <t>Islam Slimani</t>
        </is>
      </c>
    </row>
    <row r="40">
      <c r="A40" s="17" t="n">
        <v>36</v>
      </c>
      <c r="B40" t="inlineStr">
        <is>
          <t>Charlotte King</t>
        </is>
      </c>
      <c r="C40" t="inlineStr">
        <is>
          <t>Mehdi Taremi</t>
        </is>
      </c>
    </row>
    <row r="41">
      <c r="A41" s="17" t="n">
        <v>37</v>
      </c>
      <c r="B41" t="inlineStr">
        <is>
          <t>Josh Evans</t>
        </is>
      </c>
      <c r="C41" t="inlineStr">
        <is>
          <t>Rafael Leão</t>
        </is>
      </c>
    </row>
    <row r="42">
      <c r="A42" s="17" t="n">
        <v>38</v>
      </c>
      <c r="B42" t="inlineStr">
        <is>
          <t>Katie Adams</t>
        </is>
      </c>
      <c r="C42" t="inlineStr">
        <is>
          <t>Artem Dovbyk</t>
        </is>
      </c>
    </row>
    <row r="43">
      <c r="A43" s="17" t="n">
        <v>39</v>
      </c>
      <c r="B43" t="inlineStr">
        <is>
          <t>Will Jackson</t>
        </is>
      </c>
      <c r="C43" t="inlineStr">
        <is>
          <t>Viktor Gyökeres</t>
        </is>
      </c>
    </row>
    <row r="44">
      <c r="A44" s="17" t="n">
        <v>40</v>
      </c>
      <c r="B44" t="inlineStr">
        <is>
          <t>Natalie Green</t>
        </is>
      </c>
      <c r="C44" t="inlineStr">
        <is>
          <t>Matheus Cunha</t>
        </is>
      </c>
    </row>
    <row r="45">
      <c r="A45" s="17" t="n">
        <v>41</v>
      </c>
      <c r="B45" t="inlineStr">
        <is>
          <t>Harry Cooper</t>
        </is>
      </c>
      <c r="C45" t="inlineStr">
        <is>
          <t>Saleh Al-Shehri</t>
        </is>
      </c>
    </row>
    <row r="46">
      <c r="A46" s="17" t="n">
        <v>42</v>
      </c>
      <c r="B46" t="inlineStr">
        <is>
          <t>Rebecca Hall</t>
        </is>
      </c>
      <c r="C46" t="inlineStr">
        <is>
          <t>Sadio Mané</t>
        </is>
      </c>
    </row>
    <row r="47">
      <c r="A47" s="17" t="n">
        <v>43</v>
      </c>
      <c r="B47" t="inlineStr">
        <is>
          <t>Finn O'Sullivan</t>
        </is>
      </c>
      <c r="C47" t="inlineStr">
        <is>
          <t>Achraf Hakimi</t>
        </is>
      </c>
    </row>
    <row r="48">
      <c r="A48" s="17" t="n">
        <v>44</v>
      </c>
      <c r="B48" t="inlineStr">
        <is>
          <t>Ella Dixon</t>
        </is>
      </c>
      <c r="C48" t="inlineStr">
        <is>
          <t>Bryan Mbeumo</t>
        </is>
      </c>
    </row>
    <row r="49">
      <c r="A49" s="17" t="n">
        <v>45</v>
      </c>
      <c r="B49" t="inlineStr">
        <is>
          <t>Patrick Ward</t>
        </is>
      </c>
      <c r="C49" t="inlineStr">
        <is>
          <t>Amine Harit</t>
        </is>
      </c>
    </row>
    <row r="50">
      <c r="A50" s="17" t="n">
        <v>46</v>
      </c>
      <c r="B50" t="inlineStr">
        <is>
          <t>Amber Long</t>
        </is>
      </c>
      <c r="C50" t="inlineStr">
        <is>
          <t>Tim Weah</t>
        </is>
      </c>
    </row>
    <row r="51">
      <c r="A51" s="17" t="n">
        <v>47</v>
      </c>
      <c r="B51" t="inlineStr">
        <is>
          <t>Callum Fraser</t>
        </is>
      </c>
      <c r="C51" t="inlineStr">
        <is>
          <t>Alphonso Davies</t>
        </is>
      </c>
    </row>
    <row r="52">
      <c r="A52" s="17" t="n">
        <v>48</v>
      </c>
      <c r="B52" t="inlineStr">
        <is>
          <t>Molly Price</t>
        </is>
      </c>
      <c r="C52" t="inlineStr">
        <is>
          <t>Santiago Giménez</t>
        </is>
      </c>
    </row>
    <row r="53">
      <c r="A53" s="17" t="n">
        <v>49</v>
      </c>
      <c r="B53" t="inlineStr">
        <is>
          <t>Declan Burke</t>
        </is>
      </c>
      <c r="C53" t="inlineStr">
        <is>
          <t>Mathys Tel</t>
        </is>
      </c>
    </row>
    <row r="54">
      <c r="A54" s="17" t="n">
        <v>50</v>
      </c>
      <c r="B54" t="inlineStr">
        <is>
          <t>Sienna Cole</t>
        </is>
      </c>
      <c r="C54" t="inlineStr">
        <is>
          <t>Donyell Malen</t>
        </is>
      </c>
    </row>
    <row r="55">
      <c r="A55" s="17" t="n">
        <v>51</v>
      </c>
    </row>
    <row r="56">
      <c r="A56" s="17" t="n">
        <v>52</v>
      </c>
    </row>
    <row r="57">
      <c r="A57" s="17" t="n">
        <v>53</v>
      </c>
    </row>
    <row r="58">
      <c r="A58" s="17" t="n">
        <v>54</v>
      </c>
    </row>
    <row r="59">
      <c r="A59" s="17" t="n">
        <v>55</v>
      </c>
    </row>
    <row r="60">
      <c r="A60" s="17" t="n">
        <v>56</v>
      </c>
    </row>
    <row r="61">
      <c r="A61" s="17" t="n">
        <v>57</v>
      </c>
    </row>
    <row r="62">
      <c r="A62" s="17" t="n">
        <v>58</v>
      </c>
    </row>
    <row r="63">
      <c r="A63" s="17" t="n">
        <v>59</v>
      </c>
    </row>
    <row r="64">
      <c r="A64" s="17" t="n">
        <v>60</v>
      </c>
    </row>
    <row r="65">
      <c r="A65" s="17" t="n">
        <v>61</v>
      </c>
    </row>
    <row r="66">
      <c r="A66" s="17" t="n">
        <v>62</v>
      </c>
    </row>
    <row r="67">
      <c r="A67" s="17" t="n">
        <v>63</v>
      </c>
    </row>
    <row r="68">
      <c r="A68" s="17" t="n">
        <v>64</v>
      </c>
    </row>
    <row r="69">
      <c r="A69" s="17" t="n">
        <v>65</v>
      </c>
    </row>
    <row r="70">
      <c r="A70" s="17" t="n">
        <v>66</v>
      </c>
    </row>
    <row r="71">
      <c r="A71" s="17" t="n">
        <v>67</v>
      </c>
    </row>
    <row r="72">
      <c r="A72" s="17" t="n">
        <v>68</v>
      </c>
    </row>
    <row r="73">
      <c r="A73" s="17" t="n">
        <v>69</v>
      </c>
    </row>
    <row r="74">
      <c r="A74" s="17" t="n">
        <v>70</v>
      </c>
    </row>
    <row r="75">
      <c r="A75" s="17" t="n">
        <v>71</v>
      </c>
    </row>
    <row r="76">
      <c r="A76" s="17" t="n">
        <v>72</v>
      </c>
    </row>
    <row r="77">
      <c r="A77" s="17" t="n">
        <v>73</v>
      </c>
    </row>
    <row r="78">
      <c r="A78" s="17" t="n">
        <v>74</v>
      </c>
    </row>
    <row r="79">
      <c r="A79" s="17" t="n">
        <v>75</v>
      </c>
    </row>
    <row r="80">
      <c r="A80" s="17" t="n">
        <v>76</v>
      </c>
    </row>
    <row r="81">
      <c r="A81" s="17" t="n">
        <v>77</v>
      </c>
    </row>
    <row r="82">
      <c r="A82" s="17" t="n">
        <v>78</v>
      </c>
    </row>
    <row r="83">
      <c r="A83" s="17" t="n">
        <v>79</v>
      </c>
    </row>
    <row r="84">
      <c r="A84" s="17" t="n">
        <v>80</v>
      </c>
    </row>
    <row r="85">
      <c r="A85" s="17" t="n">
        <v>81</v>
      </c>
    </row>
    <row r="86">
      <c r="A86" s="17" t="n">
        <v>82</v>
      </c>
    </row>
    <row r="87">
      <c r="A87" s="17" t="n">
        <v>83</v>
      </c>
    </row>
    <row r="88">
      <c r="A88" s="17" t="n">
        <v>84</v>
      </c>
    </row>
    <row r="89">
      <c r="A89" s="17" t="n">
        <v>85</v>
      </c>
    </row>
    <row r="90">
      <c r="A90" s="17" t="n">
        <v>86</v>
      </c>
    </row>
    <row r="91">
      <c r="A91" s="17" t="n">
        <v>87</v>
      </c>
    </row>
    <row r="92">
      <c r="A92" s="17" t="n">
        <v>88</v>
      </c>
    </row>
    <row r="93">
      <c r="A93" s="17" t="n">
        <v>89</v>
      </c>
    </row>
    <row r="94">
      <c r="A94" s="17" t="n">
        <v>90</v>
      </c>
    </row>
    <row r="95">
      <c r="A95" s="17" t="n">
        <v>91</v>
      </c>
    </row>
    <row r="96">
      <c r="A96" s="17" t="n">
        <v>92</v>
      </c>
    </row>
    <row r="97">
      <c r="A97" s="17" t="n">
        <v>93</v>
      </c>
    </row>
    <row r="98">
      <c r="A98" s="17" t="n">
        <v>94</v>
      </c>
    </row>
    <row r="99">
      <c r="A99" s="17" t="n">
        <v>95</v>
      </c>
    </row>
    <row r="100">
      <c r="A100" s="17" t="n">
        <v>96</v>
      </c>
    </row>
    <row r="101">
      <c r="A101" s="17" t="n">
        <v>97</v>
      </c>
    </row>
    <row r="102">
      <c r="A102" s="17" t="n">
        <v>98</v>
      </c>
    </row>
    <row r="103">
      <c r="A103" s="17" t="n">
        <v>99</v>
      </c>
    </row>
    <row r="104">
      <c r="A104" s="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0" customWidth="1" min="4" max="4"/>
    <col width="8" customWidth="1" min="5" max="5"/>
  </cols>
  <sheetData>
    <row r="1">
      <c r="A1" s="1" t="inlineStr">
        <is>
          <t>Team Allocation</t>
        </is>
      </c>
    </row>
    <row r="2">
      <c r="A2" s="16" t="inlineStr">
        <is>
          <t>Run the 'AllocateTeams' macro to randomly assign teams to participants.</t>
        </is>
      </c>
    </row>
    <row r="3">
      <c r="A3" s="18" t="inlineStr">
        <is>
          <t>Teams are allocated in cycles of 48 - all 48 teams used before repeating.</t>
        </is>
      </c>
    </row>
    <row r="5">
      <c r="A5" s="3" t="inlineStr">
        <is>
          <t>#</t>
        </is>
      </c>
      <c r="B5" s="3" t="inlineStr">
        <is>
          <t>Participant Name</t>
        </is>
      </c>
      <c r="C5" s="3" t="inlineStr">
        <is>
          <t>Allocated Team</t>
        </is>
      </c>
      <c r="D5" s="3" t="inlineStr">
        <is>
          <t>Group</t>
        </is>
      </c>
      <c r="E5" s="3" t="inlineStr">
        <is>
          <t>Cycle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28" customWidth="1" min="4" max="4"/>
    <col width="10" customWidth="1" min="5" max="5"/>
    <col width="10" customWidth="1" min="6" max="6"/>
    <col width="28" customWidth="1" min="7" max="7"/>
    <col width="9" customWidth="1" min="8" max="8"/>
    <col width="9" customWidth="1" min="9" max="9"/>
    <col width="10" customWidth="1" min="10" max="10"/>
    <col width="10" customWidth="1" min="11" max="11"/>
  </cols>
  <sheetData>
    <row r="1">
      <c r="A1" s="1" t="inlineStr">
        <is>
          <t>FIFA World Cup 2026 - Match Results</t>
        </is>
      </c>
    </row>
    <row r="2">
      <c r="A2" s="16" t="inlineStr">
        <is>
          <t>Enter scores in columns E and F. Points calculate automatically.</t>
        </is>
      </c>
    </row>
    <row r="4">
      <c r="A4" s="3" t="inlineStr">
        <is>
          <t>Match</t>
        </is>
      </c>
      <c r="B4" s="3" t="inlineStr">
        <is>
          <t>Date</t>
        </is>
      </c>
      <c r="C4" s="3" t="inlineStr">
        <is>
          <t>Stage</t>
        </is>
      </c>
      <c r="D4" s="3" t="inlineStr">
        <is>
          <t>Home Team</t>
        </is>
      </c>
      <c r="E4" s="3" t="inlineStr">
        <is>
          <t>Home Score</t>
        </is>
      </c>
      <c r="F4" s="3" t="inlineStr">
        <is>
          <t>Away Score</t>
        </is>
      </c>
      <c r="G4" s="3" t="inlineStr">
        <is>
          <t>Away Team</t>
        </is>
      </c>
      <c r="H4" s="3" t="inlineStr">
        <is>
          <t>Home Pts</t>
        </is>
      </c>
      <c r="I4" s="3" t="inlineStr">
        <is>
          <t>Away Pts</t>
        </is>
      </c>
      <c r="J4" s="3" t="inlineStr">
        <is>
          <t>Home Result</t>
        </is>
      </c>
      <c r="K4" s="3" t="inlineStr">
        <is>
          <t>Away Result</t>
        </is>
      </c>
    </row>
    <row r="5">
      <c r="A5" s="19" t="n">
        <v>1</v>
      </c>
      <c r="B5" s="19" t="inlineStr">
        <is>
          <t>11-Jun</t>
        </is>
      </c>
      <c r="C5" s="19" t="inlineStr">
        <is>
          <t>A</t>
        </is>
      </c>
      <c r="D5" s="20" t="inlineStr">
        <is>
          <t>Mexico</t>
        </is>
      </c>
      <c r="E5" s="19" t="n"/>
      <c r="F5" s="19" t="n"/>
      <c r="G5" s="20" t="inlineStr">
        <is>
          <t>South Africa</t>
        </is>
      </c>
      <c r="H5" s="19">
        <f>IF(AND(E5&lt;&gt;"",F5&lt;&gt;""),IF(E5&gt;F5,3,IF(E5=F5,1,0)),"")</f>
        <v/>
      </c>
      <c r="I5" s="19">
        <f>IF(AND(E5&lt;&gt;"",F5&lt;&gt;""),IF(F5&gt;E5,3,IF(E5=F5,1,0)),"")</f>
        <v/>
      </c>
      <c r="J5" s="19">
        <f>IF(AND(E5&lt;&gt;"",F5&lt;&gt;""),IF(E5&gt;F5,"W",IF(E5=F5,"D","L")),"")</f>
        <v/>
      </c>
      <c r="K5" s="19">
        <f>IF(AND(E5&lt;&gt;"",F5&lt;&gt;""),IF(F5&gt;E5,"W",IF(E5=F5,"D","L")),"")</f>
        <v/>
      </c>
    </row>
    <row r="6">
      <c r="A6" s="19" t="n">
        <v>2</v>
      </c>
      <c r="B6" s="19" t="inlineStr">
        <is>
          <t>11-Jun</t>
        </is>
      </c>
      <c r="C6" s="19" t="inlineStr">
        <is>
          <t>A</t>
        </is>
      </c>
      <c r="D6" s="20" t="inlineStr">
        <is>
          <t>South Korea</t>
        </is>
      </c>
      <c r="E6" s="19" t="n"/>
      <c r="F6" s="19" t="n"/>
      <c r="G6" s="20" t="inlineStr">
        <is>
          <t>Czechia</t>
        </is>
      </c>
      <c r="H6" s="19">
        <f>IF(AND(E6&lt;&gt;"",F6&lt;&gt;""),IF(E6&gt;F6,3,IF(E6=F6,1,0)),"")</f>
        <v/>
      </c>
      <c r="I6" s="19">
        <f>IF(AND(E6&lt;&gt;"",F6&lt;&gt;""),IF(F6&gt;E6,3,IF(E6=F6,1,0)),"")</f>
        <v/>
      </c>
      <c r="J6" s="19">
        <f>IF(AND(E6&lt;&gt;"",F6&lt;&gt;""),IF(E6&gt;F6,"W",IF(E6=F6,"D","L")),"")</f>
        <v/>
      </c>
      <c r="K6" s="19">
        <f>IF(AND(E6&lt;&gt;"",F6&lt;&gt;""),IF(F6&gt;E6,"W",IF(E6=F6,"D","L")),"")</f>
        <v/>
      </c>
    </row>
    <row r="7">
      <c r="A7" s="21" t="n">
        <v>3</v>
      </c>
      <c r="B7" s="21" t="inlineStr">
        <is>
          <t>12-Jun</t>
        </is>
      </c>
      <c r="C7" s="21" t="inlineStr">
        <is>
          <t>B</t>
        </is>
      </c>
      <c r="D7" s="22" t="inlineStr">
        <is>
          <t>Canada</t>
        </is>
      </c>
      <c r="E7" s="21" t="n"/>
      <c r="F7" s="21" t="n"/>
      <c r="G7" s="22" t="inlineStr">
        <is>
          <t>Bosnia and Herzegovina</t>
        </is>
      </c>
      <c r="H7" s="21">
        <f>IF(AND(E7&lt;&gt;"",F7&lt;&gt;""),IF(E7&gt;F7,3,IF(E7=F7,1,0)),"")</f>
        <v/>
      </c>
      <c r="I7" s="21">
        <f>IF(AND(E7&lt;&gt;"",F7&lt;&gt;""),IF(F7&gt;E7,3,IF(E7=F7,1,0)),"")</f>
        <v/>
      </c>
      <c r="J7" s="21">
        <f>IF(AND(E7&lt;&gt;"",F7&lt;&gt;""),IF(E7&gt;F7,"W",IF(E7=F7,"D","L")),"")</f>
        <v/>
      </c>
      <c r="K7" s="21">
        <f>IF(AND(E7&lt;&gt;"",F7&lt;&gt;""),IF(F7&gt;E7,"W",IF(E7=F7,"D","L")),"")</f>
        <v/>
      </c>
    </row>
    <row r="8">
      <c r="A8" s="23" t="n">
        <v>4</v>
      </c>
      <c r="B8" s="23" t="inlineStr">
        <is>
          <t>12-Jun</t>
        </is>
      </c>
      <c r="C8" s="23" t="inlineStr">
        <is>
          <t>D</t>
        </is>
      </c>
      <c r="D8" s="24" t="inlineStr">
        <is>
          <t>United States</t>
        </is>
      </c>
      <c r="E8" s="23" t="n"/>
      <c r="F8" s="23" t="n"/>
      <c r="G8" s="24" t="inlineStr">
        <is>
          <t>Paraguay</t>
        </is>
      </c>
      <c r="H8" s="23">
        <f>IF(AND(E8&lt;&gt;"",F8&lt;&gt;""),IF(E8&gt;F8,3,IF(E8=F8,1,0)),"")</f>
        <v/>
      </c>
      <c r="I8" s="23">
        <f>IF(AND(E8&lt;&gt;"",F8&lt;&gt;""),IF(F8&gt;E8,3,IF(E8=F8,1,0)),"")</f>
        <v/>
      </c>
      <c r="J8" s="23">
        <f>IF(AND(E8&lt;&gt;"",F8&lt;&gt;""),IF(E8&gt;F8,"W",IF(E8=F8,"D","L")),"")</f>
        <v/>
      </c>
      <c r="K8" s="23">
        <f>IF(AND(E8&lt;&gt;"",F8&lt;&gt;""),IF(F8&gt;E8,"W",IF(E8=F8,"D","L")),"")</f>
        <v/>
      </c>
    </row>
    <row r="9">
      <c r="A9" s="25" t="n">
        <v>5</v>
      </c>
      <c r="B9" s="25" t="inlineStr">
        <is>
          <t>13-Jun</t>
        </is>
      </c>
      <c r="C9" s="25" t="inlineStr">
        <is>
          <t>C</t>
        </is>
      </c>
      <c r="D9" s="26" t="inlineStr">
        <is>
          <t>Haiti</t>
        </is>
      </c>
      <c r="E9" s="25" t="n"/>
      <c r="F9" s="25" t="n"/>
      <c r="G9" s="26" t="inlineStr">
        <is>
          <t>Scotland</t>
        </is>
      </c>
      <c r="H9" s="25">
        <f>IF(AND(E9&lt;&gt;"",F9&lt;&gt;""),IF(E9&gt;F9,3,IF(E9=F9,1,0)),"")</f>
        <v/>
      </c>
      <c r="I9" s="25">
        <f>IF(AND(E9&lt;&gt;"",F9&lt;&gt;""),IF(F9&gt;E9,3,IF(E9=F9,1,0)),"")</f>
        <v/>
      </c>
      <c r="J9" s="25">
        <f>IF(AND(E9&lt;&gt;"",F9&lt;&gt;""),IF(E9&gt;F9,"W",IF(E9=F9,"D","L")),"")</f>
        <v/>
      </c>
      <c r="K9" s="25">
        <f>IF(AND(E9&lt;&gt;"",F9&lt;&gt;""),IF(F9&gt;E9,"W",IF(E9=F9,"D","L")),"")</f>
        <v/>
      </c>
    </row>
    <row r="10">
      <c r="A10" s="23" t="n">
        <v>6</v>
      </c>
      <c r="B10" s="23" t="inlineStr">
        <is>
          <t>13-Jun</t>
        </is>
      </c>
      <c r="C10" s="23" t="inlineStr">
        <is>
          <t>D</t>
        </is>
      </c>
      <c r="D10" s="24" t="inlineStr">
        <is>
          <t>Australia</t>
        </is>
      </c>
      <c r="E10" s="23" t="n"/>
      <c r="F10" s="23" t="n"/>
      <c r="G10" s="24" t="inlineStr">
        <is>
          <t>Türkiye</t>
        </is>
      </c>
      <c r="H10" s="23">
        <f>IF(AND(E10&lt;&gt;"",F10&lt;&gt;""),IF(E10&gt;F10,3,IF(E10=F10,1,0)),"")</f>
        <v/>
      </c>
      <c r="I10" s="23">
        <f>IF(AND(E10&lt;&gt;"",F10&lt;&gt;""),IF(F10&gt;E10,3,IF(E10=F10,1,0)),"")</f>
        <v/>
      </c>
      <c r="J10" s="23">
        <f>IF(AND(E10&lt;&gt;"",F10&lt;&gt;""),IF(E10&gt;F10,"W",IF(E10=F10,"D","L")),"")</f>
        <v/>
      </c>
      <c r="K10" s="23">
        <f>IF(AND(E10&lt;&gt;"",F10&lt;&gt;""),IF(F10&gt;E10,"W",IF(E10=F10,"D","L")),"")</f>
        <v/>
      </c>
    </row>
    <row r="11">
      <c r="A11" s="25" t="n">
        <v>7</v>
      </c>
      <c r="B11" s="25" t="inlineStr">
        <is>
          <t>13-Jun</t>
        </is>
      </c>
      <c r="C11" s="25" t="inlineStr">
        <is>
          <t>C</t>
        </is>
      </c>
      <c r="D11" s="26" t="inlineStr">
        <is>
          <t>Brazil</t>
        </is>
      </c>
      <c r="E11" s="25" t="n"/>
      <c r="F11" s="25" t="n"/>
      <c r="G11" s="26" t="inlineStr">
        <is>
          <t>Morocco</t>
        </is>
      </c>
      <c r="H11" s="25">
        <f>IF(AND(E11&lt;&gt;"",F11&lt;&gt;""),IF(E11&gt;F11,3,IF(E11=F11,1,0)),"")</f>
        <v/>
      </c>
      <c r="I11" s="25">
        <f>IF(AND(E11&lt;&gt;"",F11&lt;&gt;""),IF(F11&gt;E11,3,IF(E11=F11,1,0)),"")</f>
        <v/>
      </c>
      <c r="J11" s="25">
        <f>IF(AND(E11&lt;&gt;"",F11&lt;&gt;""),IF(E11&gt;F11,"W",IF(E11=F11,"D","L")),"")</f>
        <v/>
      </c>
      <c r="K11" s="25">
        <f>IF(AND(E11&lt;&gt;"",F11&lt;&gt;""),IF(F11&gt;E11,"W",IF(E11=F11,"D","L")),"")</f>
        <v/>
      </c>
    </row>
    <row r="12">
      <c r="A12" s="21" t="n">
        <v>8</v>
      </c>
      <c r="B12" s="21" t="inlineStr">
        <is>
          <t>13-Jun</t>
        </is>
      </c>
      <c r="C12" s="21" t="inlineStr">
        <is>
          <t>B</t>
        </is>
      </c>
      <c r="D12" s="22" t="inlineStr">
        <is>
          <t>Qatar</t>
        </is>
      </c>
      <c r="E12" s="21" t="n"/>
      <c r="F12" s="21" t="n"/>
      <c r="G12" s="22" t="inlineStr">
        <is>
          <t>Switzerland</t>
        </is>
      </c>
      <c r="H12" s="21">
        <f>IF(AND(E12&lt;&gt;"",F12&lt;&gt;""),IF(E12&gt;F12,3,IF(E12=F12,1,0)),"")</f>
        <v/>
      </c>
      <c r="I12" s="21">
        <f>IF(AND(E12&lt;&gt;"",F12&lt;&gt;""),IF(F12&gt;E12,3,IF(E12=F12,1,0)),"")</f>
        <v/>
      </c>
      <c r="J12" s="21">
        <f>IF(AND(E12&lt;&gt;"",F12&lt;&gt;""),IF(E12&gt;F12,"W",IF(E12=F12,"D","L")),"")</f>
        <v/>
      </c>
      <c r="K12" s="21">
        <f>IF(AND(E12&lt;&gt;"",F12&lt;&gt;""),IF(F12&gt;E12,"W",IF(E12=F12,"D","L")),"")</f>
        <v/>
      </c>
    </row>
    <row r="13">
      <c r="A13" s="27" t="n">
        <v>9</v>
      </c>
      <c r="B13" s="27" t="inlineStr">
        <is>
          <t>14-Jun</t>
        </is>
      </c>
      <c r="C13" s="27" t="inlineStr">
        <is>
          <t>E</t>
        </is>
      </c>
      <c r="D13" s="28" t="inlineStr">
        <is>
          <t>Ivory Coast</t>
        </is>
      </c>
      <c r="E13" s="27" t="n"/>
      <c r="F13" s="27" t="n"/>
      <c r="G13" s="28" t="inlineStr">
        <is>
          <t>Ecuador</t>
        </is>
      </c>
      <c r="H13" s="27">
        <f>IF(AND(E13&lt;&gt;"",F13&lt;&gt;""),IF(E13&gt;F13,3,IF(E13=F13,1,0)),"")</f>
        <v/>
      </c>
      <c r="I13" s="27">
        <f>IF(AND(E13&lt;&gt;"",F13&lt;&gt;""),IF(F13&gt;E13,3,IF(E13=F13,1,0)),"")</f>
        <v/>
      </c>
      <c r="J13" s="27">
        <f>IF(AND(E13&lt;&gt;"",F13&lt;&gt;""),IF(E13&gt;F13,"W",IF(E13=F13,"D","L")),"")</f>
        <v/>
      </c>
      <c r="K13" s="27">
        <f>IF(AND(E13&lt;&gt;"",F13&lt;&gt;""),IF(F13&gt;E13,"W",IF(E13=F13,"D","L")),"")</f>
        <v/>
      </c>
    </row>
    <row r="14">
      <c r="A14" s="27" t="n">
        <v>10</v>
      </c>
      <c r="B14" s="27" t="inlineStr">
        <is>
          <t>14-Jun</t>
        </is>
      </c>
      <c r="C14" s="27" t="inlineStr">
        <is>
          <t>E</t>
        </is>
      </c>
      <c r="D14" s="28" t="inlineStr">
        <is>
          <t>Germany</t>
        </is>
      </c>
      <c r="E14" s="27" t="n"/>
      <c r="F14" s="27" t="n"/>
      <c r="G14" s="28" t="inlineStr">
        <is>
          <t>Curaçao</t>
        </is>
      </c>
      <c r="H14" s="27">
        <f>IF(AND(E14&lt;&gt;"",F14&lt;&gt;""),IF(E14&gt;F14,3,IF(E14=F14,1,0)),"")</f>
        <v/>
      </c>
      <c r="I14" s="27">
        <f>IF(AND(E14&lt;&gt;"",F14&lt;&gt;""),IF(F14&gt;E14,3,IF(E14=F14,1,0)),"")</f>
        <v/>
      </c>
      <c r="J14" s="27">
        <f>IF(AND(E14&lt;&gt;"",F14&lt;&gt;""),IF(E14&gt;F14,"W",IF(E14=F14,"D","L")),"")</f>
        <v/>
      </c>
      <c r="K14" s="27">
        <f>IF(AND(E14&lt;&gt;"",F14&lt;&gt;""),IF(F14&gt;E14,"W",IF(E14=F14,"D","L")),"")</f>
        <v/>
      </c>
    </row>
    <row r="15">
      <c r="A15" s="29" t="n">
        <v>11</v>
      </c>
      <c r="B15" s="29" t="inlineStr">
        <is>
          <t>14-Jun</t>
        </is>
      </c>
      <c r="C15" s="29" t="inlineStr">
        <is>
          <t>F</t>
        </is>
      </c>
      <c r="D15" s="30" t="inlineStr">
        <is>
          <t>Netherlands</t>
        </is>
      </c>
      <c r="E15" s="29" t="n"/>
      <c r="F15" s="29" t="n"/>
      <c r="G15" s="30" t="inlineStr">
        <is>
          <t>Japan</t>
        </is>
      </c>
      <c r="H15" s="29">
        <f>IF(AND(E15&lt;&gt;"",F15&lt;&gt;""),IF(E15&gt;F15,3,IF(E15=F15,1,0)),"")</f>
        <v/>
      </c>
      <c r="I15" s="29">
        <f>IF(AND(E15&lt;&gt;"",F15&lt;&gt;""),IF(F15&gt;E15,3,IF(E15=F15,1,0)),"")</f>
        <v/>
      </c>
      <c r="J15" s="29">
        <f>IF(AND(E15&lt;&gt;"",F15&lt;&gt;""),IF(E15&gt;F15,"W",IF(E15=F15,"D","L")),"")</f>
        <v/>
      </c>
      <c r="K15" s="29">
        <f>IF(AND(E15&lt;&gt;"",F15&lt;&gt;""),IF(F15&gt;E15,"W",IF(E15=F15,"D","L")),"")</f>
        <v/>
      </c>
    </row>
    <row r="16">
      <c r="A16" s="29" t="n">
        <v>12</v>
      </c>
      <c r="B16" s="29" t="inlineStr">
        <is>
          <t>14-Jun</t>
        </is>
      </c>
      <c r="C16" s="29" t="inlineStr">
        <is>
          <t>F</t>
        </is>
      </c>
      <c r="D16" s="30" t="inlineStr">
        <is>
          <t>Sweden</t>
        </is>
      </c>
      <c r="E16" s="29" t="n"/>
      <c r="F16" s="29" t="n"/>
      <c r="G16" s="30" t="inlineStr">
        <is>
          <t>Tunisia</t>
        </is>
      </c>
      <c r="H16" s="29">
        <f>IF(AND(E16&lt;&gt;"",F16&lt;&gt;""),IF(E16&gt;F16,3,IF(E16=F16,1,0)),"")</f>
        <v/>
      </c>
      <c r="I16" s="29">
        <f>IF(AND(E16&lt;&gt;"",F16&lt;&gt;""),IF(F16&gt;E16,3,IF(E16=F16,1,0)),"")</f>
        <v/>
      </c>
      <c r="J16" s="29">
        <f>IF(AND(E16&lt;&gt;"",F16&lt;&gt;""),IF(E16&gt;F16,"W",IF(E16=F16,"D","L")),"")</f>
        <v/>
      </c>
      <c r="K16" s="29">
        <f>IF(AND(E16&lt;&gt;"",F16&lt;&gt;""),IF(F16&gt;E16,"W",IF(E16=F16,"D","L")),"")</f>
        <v/>
      </c>
    </row>
    <row r="17">
      <c r="A17" s="31" t="n">
        <v>13</v>
      </c>
      <c r="B17" s="31" t="inlineStr">
        <is>
          <t>15-Jun</t>
        </is>
      </c>
      <c r="C17" s="31" t="inlineStr">
        <is>
          <t>H</t>
        </is>
      </c>
      <c r="D17" s="32" t="inlineStr">
        <is>
          <t>Saudi Arabia</t>
        </is>
      </c>
      <c r="E17" s="31" t="n"/>
      <c r="F17" s="31" t="n"/>
      <c r="G17" s="32" t="inlineStr">
        <is>
          <t>Uruguay</t>
        </is>
      </c>
      <c r="H17" s="31">
        <f>IF(AND(E17&lt;&gt;"",F17&lt;&gt;""),IF(E17&gt;F17,3,IF(E17=F17,1,0)),"")</f>
        <v/>
      </c>
      <c r="I17" s="31">
        <f>IF(AND(E17&lt;&gt;"",F17&lt;&gt;""),IF(F17&gt;E17,3,IF(E17=F17,1,0)),"")</f>
        <v/>
      </c>
      <c r="J17" s="31">
        <f>IF(AND(E17&lt;&gt;"",F17&lt;&gt;""),IF(E17&gt;F17,"W",IF(E17=F17,"D","L")),"")</f>
        <v/>
      </c>
      <c r="K17" s="31">
        <f>IF(AND(E17&lt;&gt;"",F17&lt;&gt;""),IF(F17&gt;E17,"W",IF(E17=F17,"D","L")),"")</f>
        <v/>
      </c>
    </row>
    <row r="18">
      <c r="A18" s="31" t="n">
        <v>14</v>
      </c>
      <c r="B18" s="31" t="inlineStr">
        <is>
          <t>15-Jun</t>
        </is>
      </c>
      <c r="C18" s="31" t="inlineStr">
        <is>
          <t>H</t>
        </is>
      </c>
      <c r="D18" s="32" t="inlineStr">
        <is>
          <t>Spain</t>
        </is>
      </c>
      <c r="E18" s="31" t="n"/>
      <c r="F18" s="31" t="n"/>
      <c r="G18" s="32" t="inlineStr">
        <is>
          <t>Cape Verde</t>
        </is>
      </c>
      <c r="H18" s="31">
        <f>IF(AND(E18&lt;&gt;"",F18&lt;&gt;""),IF(E18&gt;F18,3,IF(E18=F18,1,0)),"")</f>
        <v/>
      </c>
      <c r="I18" s="31">
        <f>IF(AND(E18&lt;&gt;"",F18&lt;&gt;""),IF(F18&gt;E18,3,IF(E18=F18,1,0)),"")</f>
        <v/>
      </c>
      <c r="J18" s="31">
        <f>IF(AND(E18&lt;&gt;"",F18&lt;&gt;""),IF(E18&gt;F18,"W",IF(E18=F18,"D","L")),"")</f>
        <v/>
      </c>
      <c r="K18" s="31">
        <f>IF(AND(E18&lt;&gt;"",F18&lt;&gt;""),IF(F18&gt;E18,"W",IF(E18=F18,"D","L")),"")</f>
        <v/>
      </c>
    </row>
    <row r="19">
      <c r="A19" s="33" t="n">
        <v>15</v>
      </c>
      <c r="B19" s="33" t="inlineStr">
        <is>
          <t>15-Jun</t>
        </is>
      </c>
      <c r="C19" s="33" t="inlineStr">
        <is>
          <t>G</t>
        </is>
      </c>
      <c r="D19" s="34" t="inlineStr">
        <is>
          <t>Iran</t>
        </is>
      </c>
      <c r="E19" s="33" t="n"/>
      <c r="F19" s="33" t="n"/>
      <c r="G19" s="34" t="inlineStr">
        <is>
          <t>New Zealand</t>
        </is>
      </c>
      <c r="H19" s="33">
        <f>IF(AND(E19&lt;&gt;"",F19&lt;&gt;""),IF(E19&gt;F19,3,IF(E19=F19,1,0)),"")</f>
        <v/>
      </c>
      <c r="I19" s="33">
        <f>IF(AND(E19&lt;&gt;"",F19&lt;&gt;""),IF(F19&gt;E19,3,IF(E19=F19,1,0)),"")</f>
        <v/>
      </c>
      <c r="J19" s="33">
        <f>IF(AND(E19&lt;&gt;"",F19&lt;&gt;""),IF(E19&gt;F19,"W",IF(E19=F19,"D","L")),"")</f>
        <v/>
      </c>
      <c r="K19" s="33">
        <f>IF(AND(E19&lt;&gt;"",F19&lt;&gt;""),IF(F19&gt;E19,"W",IF(E19=F19,"D","L")),"")</f>
        <v/>
      </c>
    </row>
    <row r="20">
      <c r="A20" s="33" t="n">
        <v>16</v>
      </c>
      <c r="B20" s="33" t="inlineStr">
        <is>
          <t>15-Jun</t>
        </is>
      </c>
      <c r="C20" s="33" t="inlineStr">
        <is>
          <t>G</t>
        </is>
      </c>
      <c r="D20" s="34" t="inlineStr">
        <is>
          <t>Belgium</t>
        </is>
      </c>
      <c r="E20" s="33" t="n"/>
      <c r="F20" s="33" t="n"/>
      <c r="G20" s="34" t="inlineStr">
        <is>
          <t>Egypt</t>
        </is>
      </c>
      <c r="H20" s="33">
        <f>IF(AND(E20&lt;&gt;"",F20&lt;&gt;""),IF(E20&gt;F20,3,IF(E20=F20,1,0)),"")</f>
        <v/>
      </c>
      <c r="I20" s="33">
        <f>IF(AND(E20&lt;&gt;"",F20&lt;&gt;""),IF(F20&gt;E20,3,IF(E20=F20,1,0)),"")</f>
        <v/>
      </c>
      <c r="J20" s="33">
        <f>IF(AND(E20&lt;&gt;"",F20&lt;&gt;""),IF(E20&gt;F20,"W",IF(E20=F20,"D","L")),"")</f>
        <v/>
      </c>
      <c r="K20" s="33">
        <f>IF(AND(E20&lt;&gt;"",F20&lt;&gt;""),IF(F20&gt;E20,"W",IF(E20=F20,"D","L")),"")</f>
        <v/>
      </c>
    </row>
    <row r="21">
      <c r="A21" s="35" t="n">
        <v>17</v>
      </c>
      <c r="B21" s="35" t="inlineStr">
        <is>
          <t>16-Jun</t>
        </is>
      </c>
      <c r="C21" s="35" t="inlineStr">
        <is>
          <t>I</t>
        </is>
      </c>
      <c r="D21" s="36" t="inlineStr">
        <is>
          <t>France</t>
        </is>
      </c>
      <c r="E21" s="35" t="n"/>
      <c r="F21" s="35" t="n"/>
      <c r="G21" s="36" t="inlineStr">
        <is>
          <t>Senegal</t>
        </is>
      </c>
      <c r="H21" s="35">
        <f>IF(AND(E21&lt;&gt;"",F21&lt;&gt;""),IF(E21&gt;F21,3,IF(E21=F21,1,0)),"")</f>
        <v/>
      </c>
      <c r="I21" s="35">
        <f>IF(AND(E21&lt;&gt;"",F21&lt;&gt;""),IF(F21&gt;E21,3,IF(E21=F21,1,0)),"")</f>
        <v/>
      </c>
      <c r="J21" s="35">
        <f>IF(AND(E21&lt;&gt;"",F21&lt;&gt;""),IF(E21&gt;F21,"W",IF(E21=F21,"D","L")),"")</f>
        <v/>
      </c>
      <c r="K21" s="35">
        <f>IF(AND(E21&lt;&gt;"",F21&lt;&gt;""),IF(F21&gt;E21,"W",IF(E21=F21,"D","L")),"")</f>
        <v/>
      </c>
    </row>
    <row r="22">
      <c r="A22" s="35" t="n">
        <v>18</v>
      </c>
      <c r="B22" s="35" t="inlineStr">
        <is>
          <t>16-Jun</t>
        </is>
      </c>
      <c r="C22" s="35" t="inlineStr">
        <is>
          <t>I</t>
        </is>
      </c>
      <c r="D22" s="36" t="inlineStr">
        <is>
          <t>Iraq</t>
        </is>
      </c>
      <c r="E22" s="35" t="n"/>
      <c r="F22" s="35" t="n"/>
      <c r="G22" s="36" t="inlineStr">
        <is>
          <t>Norway</t>
        </is>
      </c>
      <c r="H22" s="35">
        <f>IF(AND(E22&lt;&gt;"",F22&lt;&gt;""),IF(E22&gt;F22,3,IF(E22=F22,1,0)),"")</f>
        <v/>
      </c>
      <c r="I22" s="35">
        <f>IF(AND(E22&lt;&gt;"",F22&lt;&gt;""),IF(F22&gt;E22,3,IF(E22=F22,1,0)),"")</f>
        <v/>
      </c>
      <c r="J22" s="35">
        <f>IF(AND(E22&lt;&gt;"",F22&lt;&gt;""),IF(E22&gt;F22,"W",IF(E22=F22,"D","L")),"")</f>
        <v/>
      </c>
      <c r="K22" s="35">
        <f>IF(AND(E22&lt;&gt;"",F22&lt;&gt;""),IF(F22&gt;E22,"W",IF(E22=F22,"D","L")),"")</f>
        <v/>
      </c>
    </row>
    <row r="23">
      <c r="A23" s="37" t="n">
        <v>19</v>
      </c>
      <c r="B23" s="37" t="inlineStr">
        <is>
          <t>16-Jun</t>
        </is>
      </c>
      <c r="C23" s="37" t="inlineStr">
        <is>
          <t>J</t>
        </is>
      </c>
      <c r="D23" s="38" t="inlineStr">
        <is>
          <t>Argentina</t>
        </is>
      </c>
      <c r="E23" s="37" t="n"/>
      <c r="F23" s="37" t="n"/>
      <c r="G23" s="38" t="inlineStr">
        <is>
          <t>Algeria</t>
        </is>
      </c>
      <c r="H23" s="37">
        <f>IF(AND(E23&lt;&gt;"",F23&lt;&gt;""),IF(E23&gt;F23,3,IF(E23=F23,1,0)),"")</f>
        <v/>
      </c>
      <c r="I23" s="37">
        <f>IF(AND(E23&lt;&gt;"",F23&lt;&gt;""),IF(F23&gt;E23,3,IF(E23=F23,1,0)),"")</f>
        <v/>
      </c>
      <c r="J23" s="37">
        <f>IF(AND(E23&lt;&gt;"",F23&lt;&gt;""),IF(E23&gt;F23,"W",IF(E23=F23,"D","L")),"")</f>
        <v/>
      </c>
      <c r="K23" s="37">
        <f>IF(AND(E23&lt;&gt;"",F23&lt;&gt;""),IF(F23&gt;E23,"W",IF(E23=F23,"D","L")),"")</f>
        <v/>
      </c>
    </row>
    <row r="24">
      <c r="A24" s="37" t="n">
        <v>20</v>
      </c>
      <c r="B24" s="37" t="inlineStr">
        <is>
          <t>16-Jun</t>
        </is>
      </c>
      <c r="C24" s="37" t="inlineStr">
        <is>
          <t>J</t>
        </is>
      </c>
      <c r="D24" s="38" t="inlineStr">
        <is>
          <t>Austria</t>
        </is>
      </c>
      <c r="E24" s="37" t="n"/>
      <c r="F24" s="37" t="n"/>
      <c r="G24" s="38" t="inlineStr">
        <is>
          <t>Jordan</t>
        </is>
      </c>
      <c r="H24" s="37">
        <f>IF(AND(E24&lt;&gt;"",F24&lt;&gt;""),IF(E24&gt;F24,3,IF(E24=F24,1,0)),"")</f>
        <v/>
      </c>
      <c r="I24" s="37">
        <f>IF(AND(E24&lt;&gt;"",F24&lt;&gt;""),IF(F24&gt;E24,3,IF(E24=F24,1,0)),"")</f>
        <v/>
      </c>
      <c r="J24" s="37">
        <f>IF(AND(E24&lt;&gt;"",F24&lt;&gt;""),IF(E24&gt;F24,"W",IF(E24=F24,"D","L")),"")</f>
        <v/>
      </c>
      <c r="K24" s="37">
        <f>IF(AND(E24&lt;&gt;"",F24&lt;&gt;""),IF(F24&gt;E24,"W",IF(E24=F24,"D","L")),"")</f>
        <v/>
      </c>
    </row>
    <row r="25">
      <c r="A25" s="39" t="n">
        <v>21</v>
      </c>
      <c r="B25" s="39" t="inlineStr">
        <is>
          <t>17-Jun</t>
        </is>
      </c>
      <c r="C25" s="39" t="inlineStr">
        <is>
          <t>L</t>
        </is>
      </c>
      <c r="D25" s="40" t="inlineStr">
        <is>
          <t>Ghana</t>
        </is>
      </c>
      <c r="E25" s="39" t="n"/>
      <c r="F25" s="39" t="n"/>
      <c r="G25" s="40" t="inlineStr">
        <is>
          <t>Panama</t>
        </is>
      </c>
      <c r="H25" s="39">
        <f>IF(AND(E25&lt;&gt;"",F25&lt;&gt;""),IF(E25&gt;F25,3,IF(E25=F25,1,0)),"")</f>
        <v/>
      </c>
      <c r="I25" s="39">
        <f>IF(AND(E25&lt;&gt;"",F25&lt;&gt;""),IF(F25&gt;E25,3,IF(E25=F25,1,0)),"")</f>
        <v/>
      </c>
      <c r="J25" s="39">
        <f>IF(AND(E25&lt;&gt;"",F25&lt;&gt;""),IF(E25&gt;F25,"W",IF(E25=F25,"D","L")),"")</f>
        <v/>
      </c>
      <c r="K25" s="39">
        <f>IF(AND(E25&lt;&gt;"",F25&lt;&gt;""),IF(F25&gt;E25,"W",IF(E25=F25,"D","L")),"")</f>
        <v/>
      </c>
    </row>
    <row r="26">
      <c r="A26" s="39" t="n">
        <v>22</v>
      </c>
      <c r="B26" s="39" t="inlineStr">
        <is>
          <t>17-Jun</t>
        </is>
      </c>
      <c r="C26" s="39" t="inlineStr">
        <is>
          <t>L</t>
        </is>
      </c>
      <c r="D26" s="40" t="inlineStr">
        <is>
          <t>England</t>
        </is>
      </c>
      <c r="E26" s="39" t="n"/>
      <c r="F26" s="39" t="n"/>
      <c r="G26" s="40" t="inlineStr">
        <is>
          <t>Croatia</t>
        </is>
      </c>
      <c r="H26" s="39">
        <f>IF(AND(E26&lt;&gt;"",F26&lt;&gt;""),IF(E26&gt;F26,3,IF(E26=F26,1,0)),"")</f>
        <v/>
      </c>
      <c r="I26" s="39">
        <f>IF(AND(E26&lt;&gt;"",F26&lt;&gt;""),IF(F26&gt;E26,3,IF(E26=F26,1,0)),"")</f>
        <v/>
      </c>
      <c r="J26" s="39">
        <f>IF(AND(E26&lt;&gt;"",F26&lt;&gt;""),IF(E26&gt;F26,"W",IF(E26=F26,"D","L")),"")</f>
        <v/>
      </c>
      <c r="K26" s="39">
        <f>IF(AND(E26&lt;&gt;"",F26&lt;&gt;""),IF(F26&gt;E26,"W",IF(E26=F26,"D","L")),"")</f>
        <v/>
      </c>
    </row>
    <row r="27">
      <c r="A27" s="41" t="n">
        <v>23</v>
      </c>
      <c r="B27" s="41" t="inlineStr">
        <is>
          <t>17-Jun</t>
        </is>
      </c>
      <c r="C27" s="41" t="inlineStr">
        <is>
          <t>K</t>
        </is>
      </c>
      <c r="D27" s="42" t="inlineStr">
        <is>
          <t>Portugal</t>
        </is>
      </c>
      <c r="E27" s="41" t="n"/>
      <c r="F27" s="41" t="n"/>
      <c r="G27" s="42" t="inlineStr">
        <is>
          <t>DR Congo</t>
        </is>
      </c>
      <c r="H27" s="41">
        <f>IF(AND(E27&lt;&gt;"",F27&lt;&gt;""),IF(E27&gt;F27,3,IF(E27=F27,1,0)),"")</f>
        <v/>
      </c>
      <c r="I27" s="41">
        <f>IF(AND(E27&lt;&gt;"",F27&lt;&gt;""),IF(F27&gt;E27,3,IF(E27=F27,1,0)),"")</f>
        <v/>
      </c>
      <c r="J27" s="41">
        <f>IF(AND(E27&lt;&gt;"",F27&lt;&gt;""),IF(E27&gt;F27,"W",IF(E27=F27,"D","L")),"")</f>
        <v/>
      </c>
      <c r="K27" s="41">
        <f>IF(AND(E27&lt;&gt;"",F27&lt;&gt;""),IF(F27&gt;E27,"W",IF(E27=F27,"D","L")),"")</f>
        <v/>
      </c>
    </row>
    <row r="28">
      <c r="A28" s="41" t="n">
        <v>24</v>
      </c>
      <c r="B28" s="41" t="inlineStr">
        <is>
          <t>17-Jun</t>
        </is>
      </c>
      <c r="C28" s="41" t="inlineStr">
        <is>
          <t>K</t>
        </is>
      </c>
      <c r="D28" s="42" t="inlineStr">
        <is>
          <t>Uzbekistan</t>
        </is>
      </c>
      <c r="E28" s="41" t="n"/>
      <c r="F28" s="41" t="n"/>
      <c r="G28" s="42" t="inlineStr">
        <is>
          <t>Colombia</t>
        </is>
      </c>
      <c r="H28" s="41">
        <f>IF(AND(E28&lt;&gt;"",F28&lt;&gt;""),IF(E28&gt;F28,3,IF(E28=F28,1,0)),"")</f>
        <v/>
      </c>
      <c r="I28" s="41">
        <f>IF(AND(E28&lt;&gt;"",F28&lt;&gt;""),IF(F28&gt;E28,3,IF(E28=F28,1,0)),"")</f>
        <v/>
      </c>
      <c r="J28" s="41">
        <f>IF(AND(E28&lt;&gt;"",F28&lt;&gt;""),IF(E28&gt;F28,"W",IF(E28=F28,"D","L")),"")</f>
        <v/>
      </c>
      <c r="K28" s="41">
        <f>IF(AND(E28&lt;&gt;"",F28&lt;&gt;""),IF(F28&gt;E28,"W",IF(E28=F28,"D","L")),"")</f>
        <v/>
      </c>
    </row>
    <row r="29">
      <c r="A29" s="19" t="n">
        <v>25</v>
      </c>
      <c r="B29" s="19" t="inlineStr">
        <is>
          <t>18-Jun</t>
        </is>
      </c>
      <c r="C29" s="19" t="inlineStr">
        <is>
          <t>A</t>
        </is>
      </c>
      <c r="D29" s="20" t="inlineStr">
        <is>
          <t>Czechia</t>
        </is>
      </c>
      <c r="E29" s="19" t="n"/>
      <c r="F29" s="19" t="n"/>
      <c r="G29" s="20" t="inlineStr">
        <is>
          <t>South Africa</t>
        </is>
      </c>
      <c r="H29" s="19">
        <f>IF(AND(E29&lt;&gt;"",F29&lt;&gt;""),IF(E29&gt;F29,3,IF(E29=F29,1,0)),"")</f>
        <v/>
      </c>
      <c r="I29" s="19">
        <f>IF(AND(E29&lt;&gt;"",F29&lt;&gt;""),IF(F29&gt;E29,3,IF(E29=F29,1,0)),"")</f>
        <v/>
      </c>
      <c r="J29" s="19">
        <f>IF(AND(E29&lt;&gt;"",F29&lt;&gt;""),IF(E29&gt;F29,"W",IF(E29=F29,"D","L")),"")</f>
        <v/>
      </c>
      <c r="K29" s="19">
        <f>IF(AND(E29&lt;&gt;"",F29&lt;&gt;""),IF(F29&gt;E29,"W",IF(E29=F29,"D","L")),"")</f>
        <v/>
      </c>
    </row>
    <row r="30">
      <c r="A30" s="21" t="n">
        <v>26</v>
      </c>
      <c r="B30" s="21" t="inlineStr">
        <is>
          <t>18-Jun</t>
        </is>
      </c>
      <c r="C30" s="21" t="inlineStr">
        <is>
          <t>B</t>
        </is>
      </c>
      <c r="D30" s="22" t="inlineStr">
        <is>
          <t>Switzerland</t>
        </is>
      </c>
      <c r="E30" s="21" t="n"/>
      <c r="F30" s="21" t="n"/>
      <c r="G30" s="22" t="inlineStr">
        <is>
          <t>Bosnia and Herzegovina</t>
        </is>
      </c>
      <c r="H30" s="21">
        <f>IF(AND(E30&lt;&gt;"",F30&lt;&gt;""),IF(E30&gt;F30,3,IF(E30=F30,1,0)),"")</f>
        <v/>
      </c>
      <c r="I30" s="21">
        <f>IF(AND(E30&lt;&gt;"",F30&lt;&gt;""),IF(F30&gt;E30,3,IF(E30=F30,1,0)),"")</f>
        <v/>
      </c>
      <c r="J30" s="21">
        <f>IF(AND(E30&lt;&gt;"",F30&lt;&gt;""),IF(E30&gt;F30,"W",IF(E30=F30,"D","L")),"")</f>
        <v/>
      </c>
      <c r="K30" s="21">
        <f>IF(AND(E30&lt;&gt;"",F30&lt;&gt;""),IF(F30&gt;E30,"W",IF(E30=F30,"D","L")),"")</f>
        <v/>
      </c>
    </row>
    <row r="31">
      <c r="A31" s="21" t="n">
        <v>27</v>
      </c>
      <c r="B31" s="21" t="inlineStr">
        <is>
          <t>18-Jun</t>
        </is>
      </c>
      <c r="C31" s="21" t="inlineStr">
        <is>
          <t>B</t>
        </is>
      </c>
      <c r="D31" s="22" t="inlineStr">
        <is>
          <t>Canada</t>
        </is>
      </c>
      <c r="E31" s="21" t="n"/>
      <c r="F31" s="21" t="n"/>
      <c r="G31" s="22" t="inlineStr">
        <is>
          <t>Qatar</t>
        </is>
      </c>
      <c r="H31" s="21">
        <f>IF(AND(E31&lt;&gt;"",F31&lt;&gt;""),IF(E31&gt;F31,3,IF(E31=F31,1,0)),"")</f>
        <v/>
      </c>
      <c r="I31" s="21">
        <f>IF(AND(E31&lt;&gt;"",F31&lt;&gt;""),IF(F31&gt;E31,3,IF(E31=F31,1,0)),"")</f>
        <v/>
      </c>
      <c r="J31" s="21">
        <f>IF(AND(E31&lt;&gt;"",F31&lt;&gt;""),IF(E31&gt;F31,"W",IF(E31=F31,"D","L")),"")</f>
        <v/>
      </c>
      <c r="K31" s="21">
        <f>IF(AND(E31&lt;&gt;"",F31&lt;&gt;""),IF(F31&gt;E31,"W",IF(E31=F31,"D","L")),"")</f>
        <v/>
      </c>
    </row>
    <row r="32">
      <c r="A32" s="19" t="n">
        <v>28</v>
      </c>
      <c r="B32" s="19" t="inlineStr">
        <is>
          <t>18-Jun</t>
        </is>
      </c>
      <c r="C32" s="19" t="inlineStr">
        <is>
          <t>A</t>
        </is>
      </c>
      <c r="D32" s="20" t="inlineStr">
        <is>
          <t>Mexico</t>
        </is>
      </c>
      <c r="E32" s="19" t="n"/>
      <c r="F32" s="19" t="n"/>
      <c r="G32" s="20" t="inlineStr">
        <is>
          <t>South Korea</t>
        </is>
      </c>
      <c r="H32" s="19">
        <f>IF(AND(E32&lt;&gt;"",F32&lt;&gt;""),IF(E32&gt;F32,3,IF(E32=F32,1,0)),"")</f>
        <v/>
      </c>
      <c r="I32" s="19">
        <f>IF(AND(E32&lt;&gt;"",F32&lt;&gt;""),IF(F32&gt;E32,3,IF(E32=F32,1,0)),"")</f>
        <v/>
      </c>
      <c r="J32" s="19">
        <f>IF(AND(E32&lt;&gt;"",F32&lt;&gt;""),IF(E32&gt;F32,"W",IF(E32=F32,"D","L")),"")</f>
        <v/>
      </c>
      <c r="K32" s="19">
        <f>IF(AND(E32&lt;&gt;"",F32&lt;&gt;""),IF(F32&gt;E32,"W",IF(E32=F32,"D","L")),"")</f>
        <v/>
      </c>
    </row>
    <row r="33">
      <c r="A33" s="25" t="n">
        <v>29</v>
      </c>
      <c r="B33" s="25" t="inlineStr">
        <is>
          <t>19-Jun</t>
        </is>
      </c>
      <c r="C33" s="25" t="inlineStr">
        <is>
          <t>C</t>
        </is>
      </c>
      <c r="D33" s="26" t="inlineStr">
        <is>
          <t>Brazil</t>
        </is>
      </c>
      <c r="E33" s="25" t="n"/>
      <c r="F33" s="25" t="n"/>
      <c r="G33" s="26" t="inlineStr">
        <is>
          <t>Haiti</t>
        </is>
      </c>
      <c r="H33" s="25">
        <f>IF(AND(E33&lt;&gt;"",F33&lt;&gt;""),IF(E33&gt;F33,3,IF(E33=F33,1,0)),"")</f>
        <v/>
      </c>
      <c r="I33" s="25">
        <f>IF(AND(E33&lt;&gt;"",F33&lt;&gt;""),IF(F33&gt;E33,3,IF(E33=F33,1,0)),"")</f>
        <v/>
      </c>
      <c r="J33" s="25">
        <f>IF(AND(E33&lt;&gt;"",F33&lt;&gt;""),IF(E33&gt;F33,"W",IF(E33=F33,"D","L")),"")</f>
        <v/>
      </c>
      <c r="K33" s="25">
        <f>IF(AND(E33&lt;&gt;"",F33&lt;&gt;""),IF(F33&gt;E33,"W",IF(E33=F33,"D","L")),"")</f>
        <v/>
      </c>
    </row>
    <row r="34">
      <c r="A34" s="25" t="n">
        <v>30</v>
      </c>
      <c r="B34" s="25" t="inlineStr">
        <is>
          <t>19-Jun</t>
        </is>
      </c>
      <c r="C34" s="25" t="inlineStr">
        <is>
          <t>C</t>
        </is>
      </c>
      <c r="D34" s="26" t="inlineStr">
        <is>
          <t>Scotland</t>
        </is>
      </c>
      <c r="E34" s="25" t="n"/>
      <c r="F34" s="25" t="n"/>
      <c r="G34" s="26" t="inlineStr">
        <is>
          <t>Morocco</t>
        </is>
      </c>
      <c r="H34" s="25">
        <f>IF(AND(E34&lt;&gt;"",F34&lt;&gt;""),IF(E34&gt;F34,3,IF(E34=F34,1,0)),"")</f>
        <v/>
      </c>
      <c r="I34" s="25">
        <f>IF(AND(E34&lt;&gt;"",F34&lt;&gt;""),IF(F34&gt;E34,3,IF(E34=F34,1,0)),"")</f>
        <v/>
      </c>
      <c r="J34" s="25">
        <f>IF(AND(E34&lt;&gt;"",F34&lt;&gt;""),IF(E34&gt;F34,"W",IF(E34=F34,"D","L")),"")</f>
        <v/>
      </c>
      <c r="K34" s="25">
        <f>IF(AND(E34&lt;&gt;"",F34&lt;&gt;""),IF(F34&gt;E34,"W",IF(E34=F34,"D","L")),"")</f>
        <v/>
      </c>
    </row>
    <row r="35">
      <c r="A35" s="23" t="n">
        <v>31</v>
      </c>
      <c r="B35" s="23" t="inlineStr">
        <is>
          <t>19-Jun</t>
        </is>
      </c>
      <c r="C35" s="23" t="inlineStr">
        <is>
          <t>D</t>
        </is>
      </c>
      <c r="D35" s="24" t="inlineStr">
        <is>
          <t>Türkiye</t>
        </is>
      </c>
      <c r="E35" s="23" t="n"/>
      <c r="F35" s="23" t="n"/>
      <c r="G35" s="24" t="inlineStr">
        <is>
          <t>Paraguay</t>
        </is>
      </c>
      <c r="H35" s="23">
        <f>IF(AND(E35&lt;&gt;"",F35&lt;&gt;""),IF(E35&gt;F35,3,IF(E35=F35,1,0)),"")</f>
        <v/>
      </c>
      <c r="I35" s="23">
        <f>IF(AND(E35&lt;&gt;"",F35&lt;&gt;""),IF(F35&gt;E35,3,IF(E35=F35,1,0)),"")</f>
        <v/>
      </c>
      <c r="J35" s="23">
        <f>IF(AND(E35&lt;&gt;"",F35&lt;&gt;""),IF(E35&gt;F35,"W",IF(E35=F35,"D","L")),"")</f>
        <v/>
      </c>
      <c r="K35" s="23">
        <f>IF(AND(E35&lt;&gt;"",F35&lt;&gt;""),IF(F35&gt;E35,"W",IF(E35=F35,"D","L")),"")</f>
        <v/>
      </c>
    </row>
    <row r="36">
      <c r="A36" s="23" t="n">
        <v>32</v>
      </c>
      <c r="B36" s="23" t="inlineStr">
        <is>
          <t>19-Jun</t>
        </is>
      </c>
      <c r="C36" s="23" t="inlineStr">
        <is>
          <t>D</t>
        </is>
      </c>
      <c r="D36" s="24" t="inlineStr">
        <is>
          <t>United States</t>
        </is>
      </c>
      <c r="E36" s="23" t="n"/>
      <c r="F36" s="23" t="n"/>
      <c r="G36" s="24" t="inlineStr">
        <is>
          <t>Australia</t>
        </is>
      </c>
      <c r="H36" s="23">
        <f>IF(AND(E36&lt;&gt;"",F36&lt;&gt;""),IF(E36&gt;F36,3,IF(E36=F36,1,0)),"")</f>
        <v/>
      </c>
      <c r="I36" s="23">
        <f>IF(AND(E36&lt;&gt;"",F36&lt;&gt;""),IF(F36&gt;E36,3,IF(E36=F36,1,0)),"")</f>
        <v/>
      </c>
      <c r="J36" s="23">
        <f>IF(AND(E36&lt;&gt;"",F36&lt;&gt;""),IF(E36&gt;F36,"W",IF(E36=F36,"D","L")),"")</f>
        <v/>
      </c>
      <c r="K36" s="23">
        <f>IF(AND(E36&lt;&gt;"",F36&lt;&gt;""),IF(F36&gt;E36,"W",IF(E36=F36,"D","L")),"")</f>
        <v/>
      </c>
    </row>
    <row r="37">
      <c r="A37" s="27" t="n">
        <v>33</v>
      </c>
      <c r="B37" s="27" t="inlineStr">
        <is>
          <t>20-Jun</t>
        </is>
      </c>
      <c r="C37" s="27" t="inlineStr">
        <is>
          <t>E</t>
        </is>
      </c>
      <c r="D37" s="28" t="inlineStr">
        <is>
          <t>Germany</t>
        </is>
      </c>
      <c r="E37" s="27" t="n"/>
      <c r="F37" s="27" t="n"/>
      <c r="G37" s="28" t="inlineStr">
        <is>
          <t>Ivory Coast</t>
        </is>
      </c>
      <c r="H37" s="27">
        <f>IF(AND(E37&lt;&gt;"",F37&lt;&gt;""),IF(E37&gt;F37,3,IF(E37=F37,1,0)),"")</f>
        <v/>
      </c>
      <c r="I37" s="27">
        <f>IF(AND(E37&lt;&gt;"",F37&lt;&gt;""),IF(F37&gt;E37,3,IF(E37=F37,1,0)),"")</f>
        <v/>
      </c>
      <c r="J37" s="27">
        <f>IF(AND(E37&lt;&gt;"",F37&lt;&gt;""),IF(E37&gt;F37,"W",IF(E37=F37,"D","L")),"")</f>
        <v/>
      </c>
      <c r="K37" s="27">
        <f>IF(AND(E37&lt;&gt;"",F37&lt;&gt;""),IF(F37&gt;E37,"W",IF(E37=F37,"D","L")),"")</f>
        <v/>
      </c>
    </row>
    <row r="38">
      <c r="A38" s="27" t="n">
        <v>34</v>
      </c>
      <c r="B38" s="27" t="inlineStr">
        <is>
          <t>20-Jun</t>
        </is>
      </c>
      <c r="C38" s="27" t="inlineStr">
        <is>
          <t>E</t>
        </is>
      </c>
      <c r="D38" s="28" t="inlineStr">
        <is>
          <t>Ecuador</t>
        </is>
      </c>
      <c r="E38" s="27" t="n"/>
      <c r="F38" s="27" t="n"/>
      <c r="G38" s="28" t="inlineStr">
        <is>
          <t>Curaçao</t>
        </is>
      </c>
      <c r="H38" s="27">
        <f>IF(AND(E38&lt;&gt;"",F38&lt;&gt;""),IF(E38&gt;F38,3,IF(E38=F38,1,0)),"")</f>
        <v/>
      </c>
      <c r="I38" s="27">
        <f>IF(AND(E38&lt;&gt;"",F38&lt;&gt;""),IF(F38&gt;E38,3,IF(E38=F38,1,0)),"")</f>
        <v/>
      </c>
      <c r="J38" s="27">
        <f>IF(AND(E38&lt;&gt;"",F38&lt;&gt;""),IF(E38&gt;F38,"W",IF(E38=F38,"D","L")),"")</f>
        <v/>
      </c>
      <c r="K38" s="27">
        <f>IF(AND(E38&lt;&gt;"",F38&lt;&gt;""),IF(F38&gt;E38,"W",IF(E38=F38,"D","L")),"")</f>
        <v/>
      </c>
    </row>
    <row r="39">
      <c r="A39" s="29" t="n">
        <v>35</v>
      </c>
      <c r="B39" s="29" t="inlineStr">
        <is>
          <t>20-Jun</t>
        </is>
      </c>
      <c r="C39" s="29" t="inlineStr">
        <is>
          <t>F</t>
        </is>
      </c>
      <c r="D39" s="30" t="inlineStr">
        <is>
          <t>Netherlands</t>
        </is>
      </c>
      <c r="E39" s="29" t="n"/>
      <c r="F39" s="29" t="n"/>
      <c r="G39" s="30" t="inlineStr">
        <is>
          <t>Sweden</t>
        </is>
      </c>
      <c r="H39" s="29">
        <f>IF(AND(E39&lt;&gt;"",F39&lt;&gt;""),IF(E39&gt;F39,3,IF(E39=F39,1,0)),"")</f>
        <v/>
      </c>
      <c r="I39" s="29">
        <f>IF(AND(E39&lt;&gt;"",F39&lt;&gt;""),IF(F39&gt;E39,3,IF(E39=F39,1,0)),"")</f>
        <v/>
      </c>
      <c r="J39" s="29">
        <f>IF(AND(E39&lt;&gt;"",F39&lt;&gt;""),IF(E39&gt;F39,"W",IF(E39=F39,"D","L")),"")</f>
        <v/>
      </c>
      <c r="K39" s="29">
        <f>IF(AND(E39&lt;&gt;"",F39&lt;&gt;""),IF(F39&gt;E39,"W",IF(E39=F39,"D","L")),"")</f>
        <v/>
      </c>
    </row>
    <row r="40">
      <c r="A40" s="29" t="n">
        <v>36</v>
      </c>
      <c r="B40" s="29" t="inlineStr">
        <is>
          <t>20-Jun</t>
        </is>
      </c>
      <c r="C40" s="29" t="inlineStr">
        <is>
          <t>F</t>
        </is>
      </c>
      <c r="D40" s="30" t="inlineStr">
        <is>
          <t>Tunisia</t>
        </is>
      </c>
      <c r="E40" s="29" t="n"/>
      <c r="F40" s="29" t="n"/>
      <c r="G40" s="30" t="inlineStr">
        <is>
          <t>Japan</t>
        </is>
      </c>
      <c r="H40" s="29">
        <f>IF(AND(E40&lt;&gt;"",F40&lt;&gt;""),IF(E40&gt;F40,3,IF(E40=F40,1,0)),"")</f>
        <v/>
      </c>
      <c r="I40" s="29">
        <f>IF(AND(E40&lt;&gt;"",F40&lt;&gt;""),IF(F40&gt;E40,3,IF(E40=F40,1,0)),"")</f>
        <v/>
      </c>
      <c r="J40" s="29">
        <f>IF(AND(E40&lt;&gt;"",F40&lt;&gt;""),IF(E40&gt;F40,"W",IF(E40=F40,"D","L")),"")</f>
        <v/>
      </c>
      <c r="K40" s="29">
        <f>IF(AND(E40&lt;&gt;"",F40&lt;&gt;""),IF(F40&gt;E40,"W",IF(E40=F40,"D","L")),"")</f>
        <v/>
      </c>
    </row>
    <row r="41">
      <c r="A41" s="31" t="n">
        <v>37</v>
      </c>
      <c r="B41" s="31" t="inlineStr">
        <is>
          <t>21-Jun</t>
        </is>
      </c>
      <c r="C41" s="31" t="inlineStr">
        <is>
          <t>H</t>
        </is>
      </c>
      <c r="D41" s="32" t="inlineStr">
        <is>
          <t>Uruguay</t>
        </is>
      </c>
      <c r="E41" s="31" t="n"/>
      <c r="F41" s="31" t="n"/>
      <c r="G41" s="32" t="inlineStr">
        <is>
          <t>Cape Verde</t>
        </is>
      </c>
      <c r="H41" s="31">
        <f>IF(AND(E41&lt;&gt;"",F41&lt;&gt;""),IF(E41&gt;F41,3,IF(E41=F41,1,0)),"")</f>
        <v/>
      </c>
      <c r="I41" s="31">
        <f>IF(AND(E41&lt;&gt;"",F41&lt;&gt;""),IF(F41&gt;E41,3,IF(E41=F41,1,0)),"")</f>
        <v/>
      </c>
      <c r="J41" s="31">
        <f>IF(AND(E41&lt;&gt;"",F41&lt;&gt;""),IF(E41&gt;F41,"W",IF(E41=F41,"D","L")),"")</f>
        <v/>
      </c>
      <c r="K41" s="31">
        <f>IF(AND(E41&lt;&gt;"",F41&lt;&gt;""),IF(F41&gt;E41,"W",IF(E41=F41,"D","L")),"")</f>
        <v/>
      </c>
    </row>
    <row r="42">
      <c r="A42" s="31" t="n">
        <v>38</v>
      </c>
      <c r="B42" s="31" t="inlineStr">
        <is>
          <t>21-Jun</t>
        </is>
      </c>
      <c r="C42" s="31" t="inlineStr">
        <is>
          <t>H</t>
        </is>
      </c>
      <c r="D42" s="32" t="inlineStr">
        <is>
          <t>Spain</t>
        </is>
      </c>
      <c r="E42" s="31" t="n"/>
      <c r="F42" s="31" t="n"/>
      <c r="G42" s="32" t="inlineStr">
        <is>
          <t>Saudi Arabia</t>
        </is>
      </c>
      <c r="H42" s="31">
        <f>IF(AND(E42&lt;&gt;"",F42&lt;&gt;""),IF(E42&gt;F42,3,IF(E42=F42,1,0)),"")</f>
        <v/>
      </c>
      <c r="I42" s="31">
        <f>IF(AND(E42&lt;&gt;"",F42&lt;&gt;""),IF(F42&gt;E42,3,IF(E42=F42,1,0)),"")</f>
        <v/>
      </c>
      <c r="J42" s="31">
        <f>IF(AND(E42&lt;&gt;"",F42&lt;&gt;""),IF(E42&gt;F42,"W",IF(E42=F42,"D","L")),"")</f>
        <v/>
      </c>
      <c r="K42" s="31">
        <f>IF(AND(E42&lt;&gt;"",F42&lt;&gt;""),IF(F42&gt;E42,"W",IF(E42=F42,"D","L")),"")</f>
        <v/>
      </c>
    </row>
    <row r="43">
      <c r="A43" s="33" t="n">
        <v>39</v>
      </c>
      <c r="B43" s="33" t="inlineStr">
        <is>
          <t>21-Jun</t>
        </is>
      </c>
      <c r="C43" s="33" t="inlineStr">
        <is>
          <t>G</t>
        </is>
      </c>
      <c r="D43" s="34" t="inlineStr">
        <is>
          <t>Belgium</t>
        </is>
      </c>
      <c r="E43" s="33" t="n"/>
      <c r="F43" s="33" t="n"/>
      <c r="G43" s="34" t="inlineStr">
        <is>
          <t>Iran</t>
        </is>
      </c>
      <c r="H43" s="33">
        <f>IF(AND(E43&lt;&gt;"",F43&lt;&gt;""),IF(E43&gt;F43,3,IF(E43=F43,1,0)),"")</f>
        <v/>
      </c>
      <c r="I43" s="33">
        <f>IF(AND(E43&lt;&gt;"",F43&lt;&gt;""),IF(F43&gt;E43,3,IF(E43=F43,1,0)),"")</f>
        <v/>
      </c>
      <c r="J43" s="33">
        <f>IF(AND(E43&lt;&gt;"",F43&lt;&gt;""),IF(E43&gt;F43,"W",IF(E43=F43,"D","L")),"")</f>
        <v/>
      </c>
      <c r="K43" s="33">
        <f>IF(AND(E43&lt;&gt;"",F43&lt;&gt;""),IF(F43&gt;E43,"W",IF(E43=F43,"D","L")),"")</f>
        <v/>
      </c>
    </row>
    <row r="44">
      <c r="A44" s="33" t="n">
        <v>40</v>
      </c>
      <c r="B44" s="33" t="inlineStr">
        <is>
          <t>21-Jun</t>
        </is>
      </c>
      <c r="C44" s="33" t="inlineStr">
        <is>
          <t>G</t>
        </is>
      </c>
      <c r="D44" s="34" t="inlineStr">
        <is>
          <t>New Zealand</t>
        </is>
      </c>
      <c r="E44" s="33" t="n"/>
      <c r="F44" s="33" t="n"/>
      <c r="G44" s="34" t="inlineStr">
        <is>
          <t>Egypt</t>
        </is>
      </c>
      <c r="H44" s="33">
        <f>IF(AND(E44&lt;&gt;"",F44&lt;&gt;""),IF(E44&gt;F44,3,IF(E44=F44,1,0)),"")</f>
        <v/>
      </c>
      <c r="I44" s="33">
        <f>IF(AND(E44&lt;&gt;"",F44&lt;&gt;""),IF(F44&gt;E44,3,IF(E44=F44,1,0)),"")</f>
        <v/>
      </c>
      <c r="J44" s="33">
        <f>IF(AND(E44&lt;&gt;"",F44&lt;&gt;""),IF(E44&gt;F44,"W",IF(E44=F44,"D","L")),"")</f>
        <v/>
      </c>
      <c r="K44" s="33">
        <f>IF(AND(E44&lt;&gt;"",F44&lt;&gt;""),IF(F44&gt;E44,"W",IF(E44=F44,"D","L")),"")</f>
        <v/>
      </c>
    </row>
    <row r="45">
      <c r="A45" s="35" t="n">
        <v>41</v>
      </c>
      <c r="B45" s="35" t="inlineStr">
        <is>
          <t>22-Jun</t>
        </is>
      </c>
      <c r="C45" s="35" t="inlineStr">
        <is>
          <t>I</t>
        </is>
      </c>
      <c r="D45" s="36" t="inlineStr">
        <is>
          <t>Norway</t>
        </is>
      </c>
      <c r="E45" s="35" t="n"/>
      <c r="F45" s="35" t="n"/>
      <c r="G45" s="36" t="inlineStr">
        <is>
          <t>Senegal</t>
        </is>
      </c>
      <c r="H45" s="35">
        <f>IF(AND(E45&lt;&gt;"",F45&lt;&gt;""),IF(E45&gt;F45,3,IF(E45=F45,1,0)),"")</f>
        <v/>
      </c>
      <c r="I45" s="35">
        <f>IF(AND(E45&lt;&gt;"",F45&lt;&gt;""),IF(F45&gt;E45,3,IF(E45=F45,1,0)),"")</f>
        <v/>
      </c>
      <c r="J45" s="35">
        <f>IF(AND(E45&lt;&gt;"",F45&lt;&gt;""),IF(E45&gt;F45,"W",IF(E45=F45,"D","L")),"")</f>
        <v/>
      </c>
      <c r="K45" s="35">
        <f>IF(AND(E45&lt;&gt;"",F45&lt;&gt;""),IF(F45&gt;E45,"W",IF(E45=F45,"D","L")),"")</f>
        <v/>
      </c>
    </row>
    <row r="46">
      <c r="A46" s="35" t="n">
        <v>42</v>
      </c>
      <c r="B46" s="35" t="inlineStr">
        <is>
          <t>22-Jun</t>
        </is>
      </c>
      <c r="C46" s="35" t="inlineStr">
        <is>
          <t>I</t>
        </is>
      </c>
      <c r="D46" s="36" t="inlineStr">
        <is>
          <t>France</t>
        </is>
      </c>
      <c r="E46" s="35" t="n"/>
      <c r="F46" s="35" t="n"/>
      <c r="G46" s="36" t="inlineStr">
        <is>
          <t>Iraq</t>
        </is>
      </c>
      <c r="H46" s="35">
        <f>IF(AND(E46&lt;&gt;"",F46&lt;&gt;""),IF(E46&gt;F46,3,IF(E46=F46,1,0)),"")</f>
        <v/>
      </c>
      <c r="I46" s="35">
        <f>IF(AND(E46&lt;&gt;"",F46&lt;&gt;""),IF(F46&gt;E46,3,IF(E46=F46,1,0)),"")</f>
        <v/>
      </c>
      <c r="J46" s="35">
        <f>IF(AND(E46&lt;&gt;"",F46&lt;&gt;""),IF(E46&gt;F46,"W",IF(E46=F46,"D","L")),"")</f>
        <v/>
      </c>
      <c r="K46" s="35">
        <f>IF(AND(E46&lt;&gt;"",F46&lt;&gt;""),IF(F46&gt;E46,"W",IF(E46=F46,"D","L")),"")</f>
        <v/>
      </c>
    </row>
    <row r="47">
      <c r="A47" s="37" t="n">
        <v>43</v>
      </c>
      <c r="B47" s="37" t="inlineStr">
        <is>
          <t>22-Jun</t>
        </is>
      </c>
      <c r="C47" s="37" t="inlineStr">
        <is>
          <t>J</t>
        </is>
      </c>
      <c r="D47" s="38" t="inlineStr">
        <is>
          <t>Argentina</t>
        </is>
      </c>
      <c r="E47" s="37" t="n"/>
      <c r="F47" s="37" t="n"/>
      <c r="G47" s="38" t="inlineStr">
        <is>
          <t>Austria</t>
        </is>
      </c>
      <c r="H47" s="37">
        <f>IF(AND(E47&lt;&gt;"",F47&lt;&gt;""),IF(E47&gt;F47,3,IF(E47=F47,1,0)),"")</f>
        <v/>
      </c>
      <c r="I47" s="37">
        <f>IF(AND(E47&lt;&gt;"",F47&lt;&gt;""),IF(F47&gt;E47,3,IF(E47=F47,1,0)),"")</f>
        <v/>
      </c>
      <c r="J47" s="37">
        <f>IF(AND(E47&lt;&gt;"",F47&lt;&gt;""),IF(E47&gt;F47,"W",IF(E47=F47,"D","L")),"")</f>
        <v/>
      </c>
      <c r="K47" s="37">
        <f>IF(AND(E47&lt;&gt;"",F47&lt;&gt;""),IF(F47&gt;E47,"W",IF(E47=F47,"D","L")),"")</f>
        <v/>
      </c>
    </row>
    <row r="48">
      <c r="A48" s="37" t="n">
        <v>44</v>
      </c>
      <c r="B48" s="37" t="inlineStr">
        <is>
          <t>22-Jun</t>
        </is>
      </c>
      <c r="C48" s="37" t="inlineStr">
        <is>
          <t>J</t>
        </is>
      </c>
      <c r="D48" s="38" t="inlineStr">
        <is>
          <t>Jordan</t>
        </is>
      </c>
      <c r="E48" s="37" t="n"/>
      <c r="F48" s="37" t="n"/>
      <c r="G48" s="38" t="inlineStr">
        <is>
          <t>Algeria</t>
        </is>
      </c>
      <c r="H48" s="37">
        <f>IF(AND(E48&lt;&gt;"",F48&lt;&gt;""),IF(E48&gt;F48,3,IF(E48=F48,1,0)),"")</f>
        <v/>
      </c>
      <c r="I48" s="37">
        <f>IF(AND(E48&lt;&gt;"",F48&lt;&gt;""),IF(F48&gt;E48,3,IF(E48=F48,1,0)),"")</f>
        <v/>
      </c>
      <c r="J48" s="37">
        <f>IF(AND(E48&lt;&gt;"",F48&lt;&gt;""),IF(E48&gt;F48,"W",IF(E48=F48,"D","L")),"")</f>
        <v/>
      </c>
      <c r="K48" s="37">
        <f>IF(AND(E48&lt;&gt;"",F48&lt;&gt;""),IF(F48&gt;E48,"W",IF(E48=F48,"D","L")),"")</f>
        <v/>
      </c>
    </row>
    <row r="49">
      <c r="A49" s="39" t="n">
        <v>45</v>
      </c>
      <c r="B49" s="39" t="inlineStr">
        <is>
          <t>23-Jun</t>
        </is>
      </c>
      <c r="C49" s="39" t="inlineStr">
        <is>
          <t>L</t>
        </is>
      </c>
      <c r="D49" s="40" t="inlineStr">
        <is>
          <t>England</t>
        </is>
      </c>
      <c r="E49" s="39" t="n"/>
      <c r="F49" s="39" t="n"/>
      <c r="G49" s="40" t="inlineStr">
        <is>
          <t>Ghana</t>
        </is>
      </c>
      <c r="H49" s="39">
        <f>IF(AND(E49&lt;&gt;"",F49&lt;&gt;""),IF(E49&gt;F49,3,IF(E49=F49,1,0)),"")</f>
        <v/>
      </c>
      <c r="I49" s="39">
        <f>IF(AND(E49&lt;&gt;"",F49&lt;&gt;""),IF(F49&gt;E49,3,IF(E49=F49,1,0)),"")</f>
        <v/>
      </c>
      <c r="J49" s="39">
        <f>IF(AND(E49&lt;&gt;"",F49&lt;&gt;""),IF(E49&gt;F49,"W",IF(E49=F49,"D","L")),"")</f>
        <v/>
      </c>
      <c r="K49" s="39">
        <f>IF(AND(E49&lt;&gt;"",F49&lt;&gt;""),IF(F49&gt;E49,"W",IF(E49=F49,"D","L")),"")</f>
        <v/>
      </c>
    </row>
    <row r="50">
      <c r="A50" s="39" t="n">
        <v>46</v>
      </c>
      <c r="B50" s="39" t="inlineStr">
        <is>
          <t>23-Jun</t>
        </is>
      </c>
      <c r="C50" s="39" t="inlineStr">
        <is>
          <t>L</t>
        </is>
      </c>
      <c r="D50" s="40" t="inlineStr">
        <is>
          <t>Panama</t>
        </is>
      </c>
      <c r="E50" s="39" t="n"/>
      <c r="F50" s="39" t="n"/>
      <c r="G50" s="40" t="inlineStr">
        <is>
          <t>Croatia</t>
        </is>
      </c>
      <c r="H50" s="39">
        <f>IF(AND(E50&lt;&gt;"",F50&lt;&gt;""),IF(E50&gt;F50,3,IF(E50=F50,1,0)),"")</f>
        <v/>
      </c>
      <c r="I50" s="39">
        <f>IF(AND(E50&lt;&gt;"",F50&lt;&gt;""),IF(F50&gt;E50,3,IF(E50=F50,1,0)),"")</f>
        <v/>
      </c>
      <c r="J50" s="39">
        <f>IF(AND(E50&lt;&gt;"",F50&lt;&gt;""),IF(E50&gt;F50,"W",IF(E50=F50,"D","L")),"")</f>
        <v/>
      </c>
      <c r="K50" s="39">
        <f>IF(AND(E50&lt;&gt;"",F50&lt;&gt;""),IF(F50&gt;E50,"W",IF(E50=F50,"D","L")),"")</f>
        <v/>
      </c>
    </row>
    <row r="51">
      <c r="A51" s="41" t="n">
        <v>47</v>
      </c>
      <c r="B51" s="41" t="inlineStr">
        <is>
          <t>23-Jun</t>
        </is>
      </c>
      <c r="C51" s="41" t="inlineStr">
        <is>
          <t>K</t>
        </is>
      </c>
      <c r="D51" s="42" t="inlineStr">
        <is>
          <t>Portugal</t>
        </is>
      </c>
      <c r="E51" s="41" t="n"/>
      <c r="F51" s="41" t="n"/>
      <c r="G51" s="42" t="inlineStr">
        <is>
          <t>Uzbekistan</t>
        </is>
      </c>
      <c r="H51" s="41">
        <f>IF(AND(E51&lt;&gt;"",F51&lt;&gt;""),IF(E51&gt;F51,3,IF(E51=F51,1,0)),"")</f>
        <v/>
      </c>
      <c r="I51" s="41">
        <f>IF(AND(E51&lt;&gt;"",F51&lt;&gt;""),IF(F51&gt;E51,3,IF(E51=F51,1,0)),"")</f>
        <v/>
      </c>
      <c r="J51" s="41">
        <f>IF(AND(E51&lt;&gt;"",F51&lt;&gt;""),IF(E51&gt;F51,"W",IF(E51=F51,"D","L")),"")</f>
        <v/>
      </c>
      <c r="K51" s="41">
        <f>IF(AND(E51&lt;&gt;"",F51&lt;&gt;""),IF(F51&gt;E51,"W",IF(E51=F51,"D","L")),"")</f>
        <v/>
      </c>
    </row>
    <row r="52">
      <c r="A52" s="41" t="n">
        <v>48</v>
      </c>
      <c r="B52" s="41" t="inlineStr">
        <is>
          <t>23-Jun</t>
        </is>
      </c>
      <c r="C52" s="41" t="inlineStr">
        <is>
          <t>K</t>
        </is>
      </c>
      <c r="D52" s="42" t="inlineStr">
        <is>
          <t>Colombia</t>
        </is>
      </c>
      <c r="E52" s="41" t="n"/>
      <c r="F52" s="41" t="n"/>
      <c r="G52" s="42" t="inlineStr">
        <is>
          <t>DR Congo</t>
        </is>
      </c>
      <c r="H52" s="41">
        <f>IF(AND(E52&lt;&gt;"",F52&lt;&gt;""),IF(E52&gt;F52,3,IF(E52=F52,1,0)),"")</f>
        <v/>
      </c>
      <c r="I52" s="41">
        <f>IF(AND(E52&lt;&gt;"",F52&lt;&gt;""),IF(F52&gt;E52,3,IF(E52=F52,1,0)),"")</f>
        <v/>
      </c>
      <c r="J52" s="41">
        <f>IF(AND(E52&lt;&gt;"",F52&lt;&gt;""),IF(E52&gt;F52,"W",IF(E52=F52,"D","L")),"")</f>
        <v/>
      </c>
      <c r="K52" s="41">
        <f>IF(AND(E52&lt;&gt;"",F52&lt;&gt;""),IF(F52&gt;E52,"W",IF(E52=F52,"D","L")),"")</f>
        <v/>
      </c>
    </row>
    <row r="53">
      <c r="A53" s="25" t="n">
        <v>49</v>
      </c>
      <c r="B53" s="25" t="inlineStr">
        <is>
          <t>24-Jun</t>
        </is>
      </c>
      <c r="C53" s="25" t="inlineStr">
        <is>
          <t>C</t>
        </is>
      </c>
      <c r="D53" s="26" t="inlineStr">
        <is>
          <t>Scotland</t>
        </is>
      </c>
      <c r="E53" s="25" t="n"/>
      <c r="F53" s="25" t="n"/>
      <c r="G53" s="26" t="inlineStr">
        <is>
          <t>Brazil</t>
        </is>
      </c>
      <c r="H53" s="25">
        <f>IF(AND(E53&lt;&gt;"",F53&lt;&gt;""),IF(E53&gt;F53,3,IF(E53=F53,1,0)),"")</f>
        <v/>
      </c>
      <c r="I53" s="25">
        <f>IF(AND(E53&lt;&gt;"",F53&lt;&gt;""),IF(F53&gt;E53,3,IF(E53=F53,1,0)),"")</f>
        <v/>
      </c>
      <c r="J53" s="25">
        <f>IF(AND(E53&lt;&gt;"",F53&lt;&gt;""),IF(E53&gt;F53,"W",IF(E53=F53,"D","L")),"")</f>
        <v/>
      </c>
      <c r="K53" s="25">
        <f>IF(AND(E53&lt;&gt;"",F53&lt;&gt;""),IF(F53&gt;E53,"W",IF(E53=F53,"D","L")),"")</f>
        <v/>
      </c>
    </row>
    <row r="54">
      <c r="A54" s="25" t="n">
        <v>50</v>
      </c>
      <c r="B54" s="25" t="inlineStr">
        <is>
          <t>24-Jun</t>
        </is>
      </c>
      <c r="C54" s="25" t="inlineStr">
        <is>
          <t>C</t>
        </is>
      </c>
      <c r="D54" s="26" t="inlineStr">
        <is>
          <t>Morocco</t>
        </is>
      </c>
      <c r="E54" s="25" t="n"/>
      <c r="F54" s="25" t="n"/>
      <c r="G54" s="26" t="inlineStr">
        <is>
          <t>Haiti</t>
        </is>
      </c>
      <c r="H54" s="25">
        <f>IF(AND(E54&lt;&gt;"",F54&lt;&gt;""),IF(E54&gt;F54,3,IF(E54=F54,1,0)),"")</f>
        <v/>
      </c>
      <c r="I54" s="25">
        <f>IF(AND(E54&lt;&gt;"",F54&lt;&gt;""),IF(F54&gt;E54,3,IF(E54=F54,1,0)),"")</f>
        <v/>
      </c>
      <c r="J54" s="25">
        <f>IF(AND(E54&lt;&gt;"",F54&lt;&gt;""),IF(E54&gt;F54,"W",IF(E54=F54,"D","L")),"")</f>
        <v/>
      </c>
      <c r="K54" s="25">
        <f>IF(AND(E54&lt;&gt;"",F54&lt;&gt;""),IF(F54&gt;E54,"W",IF(E54=F54,"D","L")),"")</f>
        <v/>
      </c>
    </row>
    <row r="55">
      <c r="A55" s="21" t="n">
        <v>51</v>
      </c>
      <c r="B55" s="21" t="inlineStr">
        <is>
          <t>24-Jun</t>
        </is>
      </c>
      <c r="C55" s="21" t="inlineStr">
        <is>
          <t>B</t>
        </is>
      </c>
      <c r="D55" s="22" t="inlineStr">
        <is>
          <t>Switzerland</t>
        </is>
      </c>
      <c r="E55" s="21" t="n"/>
      <c r="F55" s="21" t="n"/>
      <c r="G55" s="22" t="inlineStr">
        <is>
          <t>Canada</t>
        </is>
      </c>
      <c r="H55" s="21">
        <f>IF(AND(E55&lt;&gt;"",F55&lt;&gt;""),IF(E55&gt;F55,3,IF(E55=F55,1,0)),"")</f>
        <v/>
      </c>
      <c r="I55" s="21">
        <f>IF(AND(E55&lt;&gt;"",F55&lt;&gt;""),IF(F55&gt;E55,3,IF(E55=F55,1,0)),"")</f>
        <v/>
      </c>
      <c r="J55" s="21">
        <f>IF(AND(E55&lt;&gt;"",F55&lt;&gt;""),IF(E55&gt;F55,"W",IF(E55=F55,"D","L")),"")</f>
        <v/>
      </c>
      <c r="K55" s="21">
        <f>IF(AND(E55&lt;&gt;"",F55&lt;&gt;""),IF(F55&gt;E55,"W",IF(E55=F55,"D","L")),"")</f>
        <v/>
      </c>
    </row>
    <row r="56">
      <c r="A56" s="21" t="n">
        <v>52</v>
      </c>
      <c r="B56" s="21" t="inlineStr">
        <is>
          <t>24-Jun</t>
        </is>
      </c>
      <c r="C56" s="21" t="inlineStr">
        <is>
          <t>B</t>
        </is>
      </c>
      <c r="D56" s="22" t="inlineStr">
        <is>
          <t>Bosnia and Herzegovina</t>
        </is>
      </c>
      <c r="E56" s="21" t="n"/>
      <c r="F56" s="21" t="n"/>
      <c r="G56" s="22" t="inlineStr">
        <is>
          <t>Qatar</t>
        </is>
      </c>
      <c r="H56" s="21">
        <f>IF(AND(E56&lt;&gt;"",F56&lt;&gt;""),IF(E56&gt;F56,3,IF(E56=F56,1,0)),"")</f>
        <v/>
      </c>
      <c r="I56" s="21">
        <f>IF(AND(E56&lt;&gt;"",F56&lt;&gt;""),IF(F56&gt;E56,3,IF(E56=F56,1,0)),"")</f>
        <v/>
      </c>
      <c r="J56" s="21">
        <f>IF(AND(E56&lt;&gt;"",F56&lt;&gt;""),IF(E56&gt;F56,"W",IF(E56=F56,"D","L")),"")</f>
        <v/>
      </c>
      <c r="K56" s="21">
        <f>IF(AND(E56&lt;&gt;"",F56&lt;&gt;""),IF(F56&gt;E56,"W",IF(E56=F56,"D","L")),"")</f>
        <v/>
      </c>
    </row>
    <row r="57">
      <c r="A57" s="19" t="n">
        <v>53</v>
      </c>
      <c r="B57" s="19" t="inlineStr">
        <is>
          <t>24-Jun</t>
        </is>
      </c>
      <c r="C57" s="19" t="inlineStr">
        <is>
          <t>A</t>
        </is>
      </c>
      <c r="D57" s="20" t="inlineStr">
        <is>
          <t>Czechia</t>
        </is>
      </c>
      <c r="E57" s="19" t="n"/>
      <c r="F57" s="19" t="n"/>
      <c r="G57" s="20" t="inlineStr">
        <is>
          <t>Mexico</t>
        </is>
      </c>
      <c r="H57" s="19">
        <f>IF(AND(E57&lt;&gt;"",F57&lt;&gt;""),IF(E57&gt;F57,3,IF(E57=F57,1,0)),"")</f>
        <v/>
      </c>
      <c r="I57" s="19">
        <f>IF(AND(E57&lt;&gt;"",F57&lt;&gt;""),IF(F57&gt;E57,3,IF(E57=F57,1,0)),"")</f>
        <v/>
      </c>
      <c r="J57" s="19">
        <f>IF(AND(E57&lt;&gt;"",F57&lt;&gt;""),IF(E57&gt;F57,"W",IF(E57=F57,"D","L")),"")</f>
        <v/>
      </c>
      <c r="K57" s="19">
        <f>IF(AND(E57&lt;&gt;"",F57&lt;&gt;""),IF(F57&gt;E57,"W",IF(E57=F57,"D","L")),"")</f>
        <v/>
      </c>
    </row>
    <row r="58">
      <c r="A58" s="19" t="n">
        <v>54</v>
      </c>
      <c r="B58" s="19" t="inlineStr">
        <is>
          <t>24-Jun</t>
        </is>
      </c>
      <c r="C58" s="19" t="inlineStr">
        <is>
          <t>A</t>
        </is>
      </c>
      <c r="D58" s="20" t="inlineStr">
        <is>
          <t>South Africa</t>
        </is>
      </c>
      <c r="E58" s="19" t="n"/>
      <c r="F58" s="19" t="n"/>
      <c r="G58" s="20" t="inlineStr">
        <is>
          <t>South Korea</t>
        </is>
      </c>
      <c r="H58" s="19">
        <f>IF(AND(E58&lt;&gt;"",F58&lt;&gt;""),IF(E58&gt;F58,3,IF(E58=F58,1,0)),"")</f>
        <v/>
      </c>
      <c r="I58" s="19">
        <f>IF(AND(E58&lt;&gt;"",F58&lt;&gt;""),IF(F58&gt;E58,3,IF(E58=F58,1,0)),"")</f>
        <v/>
      </c>
      <c r="J58" s="19">
        <f>IF(AND(E58&lt;&gt;"",F58&lt;&gt;""),IF(E58&gt;F58,"W",IF(E58=F58,"D","L")),"")</f>
        <v/>
      </c>
      <c r="K58" s="19">
        <f>IF(AND(E58&lt;&gt;"",F58&lt;&gt;""),IF(F58&gt;E58,"W",IF(E58=F58,"D","L")),"")</f>
        <v/>
      </c>
    </row>
    <row r="59">
      <c r="A59" s="27" t="n">
        <v>55</v>
      </c>
      <c r="B59" s="27" t="inlineStr">
        <is>
          <t>25-Jun</t>
        </is>
      </c>
      <c r="C59" s="27" t="inlineStr">
        <is>
          <t>E</t>
        </is>
      </c>
      <c r="D59" s="28" t="inlineStr">
        <is>
          <t>Curaçao</t>
        </is>
      </c>
      <c r="E59" s="27" t="n"/>
      <c r="F59" s="27" t="n"/>
      <c r="G59" s="28" t="inlineStr">
        <is>
          <t>Ivory Coast</t>
        </is>
      </c>
      <c r="H59" s="27">
        <f>IF(AND(E59&lt;&gt;"",F59&lt;&gt;""),IF(E59&gt;F59,3,IF(E59=F59,1,0)),"")</f>
        <v/>
      </c>
      <c r="I59" s="27">
        <f>IF(AND(E59&lt;&gt;"",F59&lt;&gt;""),IF(F59&gt;E59,3,IF(E59=F59,1,0)),"")</f>
        <v/>
      </c>
      <c r="J59" s="27">
        <f>IF(AND(E59&lt;&gt;"",F59&lt;&gt;""),IF(E59&gt;F59,"W",IF(E59=F59,"D","L")),"")</f>
        <v/>
      </c>
      <c r="K59" s="27">
        <f>IF(AND(E59&lt;&gt;"",F59&lt;&gt;""),IF(F59&gt;E59,"W",IF(E59=F59,"D","L")),"")</f>
        <v/>
      </c>
    </row>
    <row r="60">
      <c r="A60" s="27" t="n">
        <v>56</v>
      </c>
      <c r="B60" s="27" t="inlineStr">
        <is>
          <t>25-Jun</t>
        </is>
      </c>
      <c r="C60" s="27" t="inlineStr">
        <is>
          <t>E</t>
        </is>
      </c>
      <c r="D60" s="28" t="inlineStr">
        <is>
          <t>Ecuador</t>
        </is>
      </c>
      <c r="E60" s="27" t="n"/>
      <c r="F60" s="27" t="n"/>
      <c r="G60" s="28" t="inlineStr">
        <is>
          <t>Germany</t>
        </is>
      </c>
      <c r="H60" s="27">
        <f>IF(AND(E60&lt;&gt;"",F60&lt;&gt;""),IF(E60&gt;F60,3,IF(E60=F60,1,0)),"")</f>
        <v/>
      </c>
      <c r="I60" s="27">
        <f>IF(AND(E60&lt;&gt;"",F60&lt;&gt;""),IF(F60&gt;E60,3,IF(E60=F60,1,0)),"")</f>
        <v/>
      </c>
      <c r="J60" s="27">
        <f>IF(AND(E60&lt;&gt;"",F60&lt;&gt;""),IF(E60&gt;F60,"W",IF(E60=F60,"D","L")),"")</f>
        <v/>
      </c>
      <c r="K60" s="27">
        <f>IF(AND(E60&lt;&gt;"",F60&lt;&gt;""),IF(F60&gt;E60,"W",IF(E60=F60,"D","L")),"")</f>
        <v/>
      </c>
    </row>
    <row r="61">
      <c r="A61" s="29" t="n">
        <v>57</v>
      </c>
      <c r="B61" s="29" t="inlineStr">
        <is>
          <t>25-Jun</t>
        </is>
      </c>
      <c r="C61" s="29" t="inlineStr">
        <is>
          <t>F</t>
        </is>
      </c>
      <c r="D61" s="30" t="inlineStr">
        <is>
          <t>Japan</t>
        </is>
      </c>
      <c r="E61" s="29" t="n"/>
      <c r="F61" s="29" t="n"/>
      <c r="G61" s="30" t="inlineStr">
        <is>
          <t>Sweden</t>
        </is>
      </c>
      <c r="H61" s="29">
        <f>IF(AND(E61&lt;&gt;"",F61&lt;&gt;""),IF(E61&gt;F61,3,IF(E61=F61,1,0)),"")</f>
        <v/>
      </c>
      <c r="I61" s="29">
        <f>IF(AND(E61&lt;&gt;"",F61&lt;&gt;""),IF(F61&gt;E61,3,IF(E61=F61,1,0)),"")</f>
        <v/>
      </c>
      <c r="J61" s="29">
        <f>IF(AND(E61&lt;&gt;"",F61&lt;&gt;""),IF(E61&gt;F61,"W",IF(E61=F61,"D","L")),"")</f>
        <v/>
      </c>
      <c r="K61" s="29">
        <f>IF(AND(E61&lt;&gt;"",F61&lt;&gt;""),IF(F61&gt;E61,"W",IF(E61=F61,"D","L")),"")</f>
        <v/>
      </c>
    </row>
    <row r="62">
      <c r="A62" s="29" t="n">
        <v>58</v>
      </c>
      <c r="B62" s="29" t="inlineStr">
        <is>
          <t>25-Jun</t>
        </is>
      </c>
      <c r="C62" s="29" t="inlineStr">
        <is>
          <t>F</t>
        </is>
      </c>
      <c r="D62" s="30" t="inlineStr">
        <is>
          <t>Tunisia</t>
        </is>
      </c>
      <c r="E62" s="29" t="n"/>
      <c r="F62" s="29" t="n"/>
      <c r="G62" s="30" t="inlineStr">
        <is>
          <t>Netherlands</t>
        </is>
      </c>
      <c r="H62" s="29">
        <f>IF(AND(E62&lt;&gt;"",F62&lt;&gt;""),IF(E62&gt;F62,3,IF(E62=F62,1,0)),"")</f>
        <v/>
      </c>
      <c r="I62" s="29">
        <f>IF(AND(E62&lt;&gt;"",F62&lt;&gt;""),IF(F62&gt;E62,3,IF(E62=F62,1,0)),"")</f>
        <v/>
      </c>
      <c r="J62" s="29">
        <f>IF(AND(E62&lt;&gt;"",F62&lt;&gt;""),IF(E62&gt;F62,"W",IF(E62=F62,"D","L")),"")</f>
        <v/>
      </c>
      <c r="K62" s="29">
        <f>IF(AND(E62&lt;&gt;"",F62&lt;&gt;""),IF(F62&gt;E62,"W",IF(E62=F62,"D","L")),"")</f>
        <v/>
      </c>
    </row>
    <row r="63">
      <c r="A63" s="23" t="n">
        <v>59</v>
      </c>
      <c r="B63" s="23" t="inlineStr">
        <is>
          <t>25-Jun</t>
        </is>
      </c>
      <c r="C63" s="23" t="inlineStr">
        <is>
          <t>D</t>
        </is>
      </c>
      <c r="D63" s="24" t="inlineStr">
        <is>
          <t>Türkiye</t>
        </is>
      </c>
      <c r="E63" s="23" t="n"/>
      <c r="F63" s="23" t="n"/>
      <c r="G63" s="24" t="inlineStr">
        <is>
          <t>United States</t>
        </is>
      </c>
      <c r="H63" s="23">
        <f>IF(AND(E63&lt;&gt;"",F63&lt;&gt;""),IF(E63&gt;F63,3,IF(E63=F63,1,0)),"")</f>
        <v/>
      </c>
      <c r="I63" s="23">
        <f>IF(AND(E63&lt;&gt;"",F63&lt;&gt;""),IF(F63&gt;E63,3,IF(E63=F63,1,0)),"")</f>
        <v/>
      </c>
      <c r="J63" s="23">
        <f>IF(AND(E63&lt;&gt;"",F63&lt;&gt;""),IF(E63&gt;F63,"W",IF(E63=F63,"D","L")),"")</f>
        <v/>
      </c>
      <c r="K63" s="23">
        <f>IF(AND(E63&lt;&gt;"",F63&lt;&gt;""),IF(F63&gt;E63,"W",IF(E63=F63,"D","L")),"")</f>
        <v/>
      </c>
    </row>
    <row r="64">
      <c r="A64" s="23" t="n">
        <v>60</v>
      </c>
      <c r="B64" s="23" t="inlineStr">
        <is>
          <t>25-Jun</t>
        </is>
      </c>
      <c r="C64" s="23" t="inlineStr">
        <is>
          <t>D</t>
        </is>
      </c>
      <c r="D64" s="24" t="inlineStr">
        <is>
          <t>Paraguay</t>
        </is>
      </c>
      <c r="E64" s="23" t="n"/>
      <c r="F64" s="23" t="n"/>
      <c r="G64" s="24" t="inlineStr">
        <is>
          <t>Australia</t>
        </is>
      </c>
      <c r="H64" s="23">
        <f>IF(AND(E64&lt;&gt;"",F64&lt;&gt;""),IF(E64&gt;F64,3,IF(E64=F64,1,0)),"")</f>
        <v/>
      </c>
      <c r="I64" s="23">
        <f>IF(AND(E64&lt;&gt;"",F64&lt;&gt;""),IF(F64&gt;E64,3,IF(E64=F64,1,0)),"")</f>
        <v/>
      </c>
      <c r="J64" s="23">
        <f>IF(AND(E64&lt;&gt;"",F64&lt;&gt;""),IF(E64&gt;F64,"W",IF(E64=F64,"D","L")),"")</f>
        <v/>
      </c>
      <c r="K64" s="23">
        <f>IF(AND(E64&lt;&gt;"",F64&lt;&gt;""),IF(F64&gt;E64,"W",IF(E64=F64,"D","L")),"")</f>
        <v/>
      </c>
    </row>
    <row r="65">
      <c r="A65" s="35" t="n">
        <v>61</v>
      </c>
      <c r="B65" s="35" t="inlineStr">
        <is>
          <t>26-Jun</t>
        </is>
      </c>
      <c r="C65" s="35" t="inlineStr">
        <is>
          <t>I</t>
        </is>
      </c>
      <c r="D65" s="36" t="inlineStr">
        <is>
          <t>Norway</t>
        </is>
      </c>
      <c r="E65" s="35" t="n"/>
      <c r="F65" s="35" t="n"/>
      <c r="G65" s="36" t="inlineStr">
        <is>
          <t>France</t>
        </is>
      </c>
      <c r="H65" s="35">
        <f>IF(AND(E65&lt;&gt;"",F65&lt;&gt;""),IF(E65&gt;F65,3,IF(E65=F65,1,0)),"")</f>
        <v/>
      </c>
      <c r="I65" s="35">
        <f>IF(AND(E65&lt;&gt;"",F65&lt;&gt;""),IF(F65&gt;E65,3,IF(E65=F65,1,0)),"")</f>
        <v/>
      </c>
      <c r="J65" s="35">
        <f>IF(AND(E65&lt;&gt;"",F65&lt;&gt;""),IF(E65&gt;F65,"W",IF(E65=F65,"D","L")),"")</f>
        <v/>
      </c>
      <c r="K65" s="35">
        <f>IF(AND(E65&lt;&gt;"",F65&lt;&gt;""),IF(F65&gt;E65,"W",IF(E65=F65,"D","L")),"")</f>
        <v/>
      </c>
    </row>
    <row r="66">
      <c r="A66" s="35" t="n">
        <v>62</v>
      </c>
      <c r="B66" s="35" t="inlineStr">
        <is>
          <t>26-Jun</t>
        </is>
      </c>
      <c r="C66" s="35" t="inlineStr">
        <is>
          <t>I</t>
        </is>
      </c>
      <c r="D66" s="36" t="inlineStr">
        <is>
          <t>Senegal</t>
        </is>
      </c>
      <c r="E66" s="35" t="n"/>
      <c r="F66" s="35" t="n"/>
      <c r="G66" s="36" t="inlineStr">
        <is>
          <t>Iraq</t>
        </is>
      </c>
      <c r="H66" s="35">
        <f>IF(AND(E66&lt;&gt;"",F66&lt;&gt;""),IF(E66&gt;F66,3,IF(E66=F66,1,0)),"")</f>
        <v/>
      </c>
      <c r="I66" s="35">
        <f>IF(AND(E66&lt;&gt;"",F66&lt;&gt;""),IF(F66&gt;E66,3,IF(E66=F66,1,0)),"")</f>
        <v/>
      </c>
      <c r="J66" s="35">
        <f>IF(AND(E66&lt;&gt;"",F66&lt;&gt;""),IF(E66&gt;F66,"W",IF(E66=F66,"D","L")),"")</f>
        <v/>
      </c>
      <c r="K66" s="35">
        <f>IF(AND(E66&lt;&gt;"",F66&lt;&gt;""),IF(F66&gt;E66,"W",IF(E66=F66,"D","L")),"")</f>
        <v/>
      </c>
    </row>
    <row r="67">
      <c r="A67" s="33" t="n">
        <v>63</v>
      </c>
      <c r="B67" s="33" t="inlineStr">
        <is>
          <t>26-Jun</t>
        </is>
      </c>
      <c r="C67" s="33" t="inlineStr">
        <is>
          <t>G</t>
        </is>
      </c>
      <c r="D67" s="34" t="inlineStr">
        <is>
          <t>Egypt</t>
        </is>
      </c>
      <c r="E67" s="33" t="n"/>
      <c r="F67" s="33" t="n"/>
      <c r="G67" s="34" t="inlineStr">
        <is>
          <t>Iran</t>
        </is>
      </c>
      <c r="H67" s="33">
        <f>IF(AND(E67&lt;&gt;"",F67&lt;&gt;""),IF(E67&gt;F67,3,IF(E67=F67,1,0)),"")</f>
        <v/>
      </c>
      <c r="I67" s="33">
        <f>IF(AND(E67&lt;&gt;"",F67&lt;&gt;""),IF(F67&gt;E67,3,IF(E67=F67,1,0)),"")</f>
        <v/>
      </c>
      <c r="J67" s="33">
        <f>IF(AND(E67&lt;&gt;"",F67&lt;&gt;""),IF(E67&gt;F67,"W",IF(E67=F67,"D","L")),"")</f>
        <v/>
      </c>
      <c r="K67" s="33">
        <f>IF(AND(E67&lt;&gt;"",F67&lt;&gt;""),IF(F67&gt;E67,"W",IF(E67=F67,"D","L")),"")</f>
        <v/>
      </c>
    </row>
    <row r="68">
      <c r="A68" s="33" t="n">
        <v>64</v>
      </c>
      <c r="B68" s="33" t="inlineStr">
        <is>
          <t>26-Jun</t>
        </is>
      </c>
      <c r="C68" s="33" t="inlineStr">
        <is>
          <t>G</t>
        </is>
      </c>
      <c r="D68" s="34" t="inlineStr">
        <is>
          <t>New Zealand</t>
        </is>
      </c>
      <c r="E68" s="33" t="n"/>
      <c r="F68" s="33" t="n"/>
      <c r="G68" s="34" t="inlineStr">
        <is>
          <t>Belgium</t>
        </is>
      </c>
      <c r="H68" s="33">
        <f>IF(AND(E68&lt;&gt;"",F68&lt;&gt;""),IF(E68&gt;F68,3,IF(E68=F68,1,0)),"")</f>
        <v/>
      </c>
      <c r="I68" s="33">
        <f>IF(AND(E68&lt;&gt;"",F68&lt;&gt;""),IF(F68&gt;E68,3,IF(E68=F68,1,0)),"")</f>
        <v/>
      </c>
      <c r="J68" s="33">
        <f>IF(AND(E68&lt;&gt;"",F68&lt;&gt;""),IF(E68&gt;F68,"W",IF(E68=F68,"D","L")),"")</f>
        <v/>
      </c>
      <c r="K68" s="33">
        <f>IF(AND(E68&lt;&gt;"",F68&lt;&gt;""),IF(F68&gt;E68,"W",IF(E68=F68,"D","L")),"")</f>
        <v/>
      </c>
    </row>
    <row r="69">
      <c r="A69" s="31" t="n">
        <v>65</v>
      </c>
      <c r="B69" s="31" t="inlineStr">
        <is>
          <t>26-Jun</t>
        </is>
      </c>
      <c r="C69" s="31" t="inlineStr">
        <is>
          <t>H</t>
        </is>
      </c>
      <c r="D69" s="32" t="inlineStr">
        <is>
          <t>Cape Verde</t>
        </is>
      </c>
      <c r="E69" s="31" t="n"/>
      <c r="F69" s="31" t="n"/>
      <c r="G69" s="32" t="inlineStr">
        <is>
          <t>Saudi Arabia</t>
        </is>
      </c>
      <c r="H69" s="31">
        <f>IF(AND(E69&lt;&gt;"",F69&lt;&gt;""),IF(E69&gt;F69,3,IF(E69=F69,1,0)),"")</f>
        <v/>
      </c>
      <c r="I69" s="31">
        <f>IF(AND(E69&lt;&gt;"",F69&lt;&gt;""),IF(F69&gt;E69,3,IF(E69=F69,1,0)),"")</f>
        <v/>
      </c>
      <c r="J69" s="31">
        <f>IF(AND(E69&lt;&gt;"",F69&lt;&gt;""),IF(E69&gt;F69,"W",IF(E69=F69,"D","L")),"")</f>
        <v/>
      </c>
      <c r="K69" s="31">
        <f>IF(AND(E69&lt;&gt;"",F69&lt;&gt;""),IF(F69&gt;E69,"W",IF(E69=F69,"D","L")),"")</f>
        <v/>
      </c>
    </row>
    <row r="70">
      <c r="A70" s="31" t="n">
        <v>66</v>
      </c>
      <c r="B70" s="31" t="inlineStr">
        <is>
          <t>26-Jun</t>
        </is>
      </c>
      <c r="C70" s="31" t="inlineStr">
        <is>
          <t>H</t>
        </is>
      </c>
      <c r="D70" s="32" t="inlineStr">
        <is>
          <t>Uruguay</t>
        </is>
      </c>
      <c r="E70" s="31" t="n"/>
      <c r="F70" s="31" t="n"/>
      <c r="G70" s="32" t="inlineStr">
        <is>
          <t>Spain</t>
        </is>
      </c>
      <c r="H70" s="31">
        <f>IF(AND(E70&lt;&gt;"",F70&lt;&gt;""),IF(E70&gt;F70,3,IF(E70=F70,1,0)),"")</f>
        <v/>
      </c>
      <c r="I70" s="31">
        <f>IF(AND(E70&lt;&gt;"",F70&lt;&gt;""),IF(F70&gt;E70,3,IF(E70=F70,1,0)),"")</f>
        <v/>
      </c>
      <c r="J70" s="31">
        <f>IF(AND(E70&lt;&gt;"",F70&lt;&gt;""),IF(E70&gt;F70,"W",IF(E70=F70,"D","L")),"")</f>
        <v/>
      </c>
      <c r="K70" s="31">
        <f>IF(AND(E70&lt;&gt;"",F70&lt;&gt;""),IF(F70&gt;E70,"W",IF(E70=F70,"D","L")),"")</f>
        <v/>
      </c>
    </row>
    <row r="71">
      <c r="A71" s="39" t="n">
        <v>67</v>
      </c>
      <c r="B71" s="39" t="inlineStr">
        <is>
          <t>27-Jun</t>
        </is>
      </c>
      <c r="C71" s="39" t="inlineStr">
        <is>
          <t>L</t>
        </is>
      </c>
      <c r="D71" s="40" t="inlineStr">
        <is>
          <t>Panama</t>
        </is>
      </c>
      <c r="E71" s="39" t="n"/>
      <c r="F71" s="39" t="n"/>
      <c r="G71" s="40" t="inlineStr">
        <is>
          <t>England</t>
        </is>
      </c>
      <c r="H71" s="39">
        <f>IF(AND(E71&lt;&gt;"",F71&lt;&gt;""),IF(E71&gt;F71,3,IF(E71=F71,1,0)),"")</f>
        <v/>
      </c>
      <c r="I71" s="39">
        <f>IF(AND(E71&lt;&gt;"",F71&lt;&gt;""),IF(F71&gt;E71,3,IF(E71=F71,1,0)),"")</f>
        <v/>
      </c>
      <c r="J71" s="39">
        <f>IF(AND(E71&lt;&gt;"",F71&lt;&gt;""),IF(E71&gt;F71,"W",IF(E71=F71,"D","L")),"")</f>
        <v/>
      </c>
      <c r="K71" s="39">
        <f>IF(AND(E71&lt;&gt;"",F71&lt;&gt;""),IF(F71&gt;E71,"W",IF(E71=F71,"D","L")),"")</f>
        <v/>
      </c>
    </row>
    <row r="72">
      <c r="A72" s="39" t="n">
        <v>68</v>
      </c>
      <c r="B72" s="39" t="inlineStr">
        <is>
          <t>27-Jun</t>
        </is>
      </c>
      <c r="C72" s="39" t="inlineStr">
        <is>
          <t>L</t>
        </is>
      </c>
      <c r="D72" s="40" t="inlineStr">
        <is>
          <t>Croatia</t>
        </is>
      </c>
      <c r="E72" s="39" t="n"/>
      <c r="F72" s="39" t="n"/>
      <c r="G72" s="40" t="inlineStr">
        <is>
          <t>Ghana</t>
        </is>
      </c>
      <c r="H72" s="39">
        <f>IF(AND(E72&lt;&gt;"",F72&lt;&gt;""),IF(E72&gt;F72,3,IF(E72=F72,1,0)),"")</f>
        <v/>
      </c>
      <c r="I72" s="39">
        <f>IF(AND(E72&lt;&gt;"",F72&lt;&gt;""),IF(F72&gt;E72,3,IF(E72=F72,1,0)),"")</f>
        <v/>
      </c>
      <c r="J72" s="39">
        <f>IF(AND(E72&lt;&gt;"",F72&lt;&gt;""),IF(E72&gt;F72,"W",IF(E72=F72,"D","L")),"")</f>
        <v/>
      </c>
      <c r="K72" s="39">
        <f>IF(AND(E72&lt;&gt;"",F72&lt;&gt;""),IF(F72&gt;E72,"W",IF(E72=F72,"D","L")),"")</f>
        <v/>
      </c>
    </row>
    <row r="73">
      <c r="A73" s="37" t="n">
        <v>69</v>
      </c>
      <c r="B73" s="37" t="inlineStr">
        <is>
          <t>27-Jun</t>
        </is>
      </c>
      <c r="C73" s="37" t="inlineStr">
        <is>
          <t>J</t>
        </is>
      </c>
      <c r="D73" s="38" t="inlineStr">
        <is>
          <t>Algeria</t>
        </is>
      </c>
      <c r="E73" s="37" t="n"/>
      <c r="F73" s="37" t="n"/>
      <c r="G73" s="38" t="inlineStr">
        <is>
          <t>Austria</t>
        </is>
      </c>
      <c r="H73" s="37">
        <f>IF(AND(E73&lt;&gt;"",F73&lt;&gt;""),IF(E73&gt;F73,3,IF(E73=F73,1,0)),"")</f>
        <v/>
      </c>
      <c r="I73" s="37">
        <f>IF(AND(E73&lt;&gt;"",F73&lt;&gt;""),IF(F73&gt;E73,3,IF(E73=F73,1,0)),"")</f>
        <v/>
      </c>
      <c r="J73" s="37">
        <f>IF(AND(E73&lt;&gt;"",F73&lt;&gt;""),IF(E73&gt;F73,"W",IF(E73=F73,"D","L")),"")</f>
        <v/>
      </c>
      <c r="K73" s="37">
        <f>IF(AND(E73&lt;&gt;"",F73&lt;&gt;""),IF(F73&gt;E73,"W",IF(E73=F73,"D","L")),"")</f>
        <v/>
      </c>
    </row>
    <row r="74">
      <c r="A74" s="37" t="n">
        <v>70</v>
      </c>
      <c r="B74" s="37" t="inlineStr">
        <is>
          <t>27-Jun</t>
        </is>
      </c>
      <c r="C74" s="37" t="inlineStr">
        <is>
          <t>J</t>
        </is>
      </c>
      <c r="D74" s="38" t="inlineStr">
        <is>
          <t>Jordan</t>
        </is>
      </c>
      <c r="E74" s="37" t="n"/>
      <c r="F74" s="37" t="n"/>
      <c r="G74" s="38" t="inlineStr">
        <is>
          <t>Argentina</t>
        </is>
      </c>
      <c r="H74" s="37">
        <f>IF(AND(E74&lt;&gt;"",F74&lt;&gt;""),IF(E74&gt;F74,3,IF(E74=F74,1,0)),"")</f>
        <v/>
      </c>
      <c r="I74" s="37">
        <f>IF(AND(E74&lt;&gt;"",F74&lt;&gt;""),IF(F74&gt;E74,3,IF(E74=F74,1,0)),"")</f>
        <v/>
      </c>
      <c r="J74" s="37">
        <f>IF(AND(E74&lt;&gt;"",F74&lt;&gt;""),IF(E74&gt;F74,"W",IF(E74=F74,"D","L")),"")</f>
        <v/>
      </c>
      <c r="K74" s="37">
        <f>IF(AND(E74&lt;&gt;"",F74&lt;&gt;""),IF(F74&gt;E74,"W",IF(E74=F74,"D","L")),"")</f>
        <v/>
      </c>
    </row>
    <row r="75">
      <c r="A75" s="41" t="n">
        <v>71</v>
      </c>
      <c r="B75" s="41" t="inlineStr">
        <is>
          <t>27-Jun</t>
        </is>
      </c>
      <c r="C75" s="41" t="inlineStr">
        <is>
          <t>K</t>
        </is>
      </c>
      <c r="D75" s="42" t="inlineStr">
        <is>
          <t>Colombia</t>
        </is>
      </c>
      <c r="E75" s="41" t="n"/>
      <c r="F75" s="41" t="n"/>
      <c r="G75" s="42" t="inlineStr">
        <is>
          <t>Portugal</t>
        </is>
      </c>
      <c r="H75" s="41">
        <f>IF(AND(E75&lt;&gt;"",F75&lt;&gt;""),IF(E75&gt;F75,3,IF(E75=F75,1,0)),"")</f>
        <v/>
      </c>
      <c r="I75" s="41">
        <f>IF(AND(E75&lt;&gt;"",F75&lt;&gt;""),IF(F75&gt;E75,3,IF(E75=F75,1,0)),"")</f>
        <v/>
      </c>
      <c r="J75" s="41">
        <f>IF(AND(E75&lt;&gt;"",F75&lt;&gt;""),IF(E75&gt;F75,"W",IF(E75=F75,"D","L")),"")</f>
        <v/>
      </c>
      <c r="K75" s="41">
        <f>IF(AND(E75&lt;&gt;"",F75&lt;&gt;""),IF(F75&gt;E75,"W",IF(E75=F75,"D","L")),"")</f>
        <v/>
      </c>
    </row>
    <row r="76">
      <c r="A76" s="41" t="n">
        <v>72</v>
      </c>
      <c r="B76" s="41" t="inlineStr">
        <is>
          <t>27-Jun</t>
        </is>
      </c>
      <c r="C76" s="41" t="inlineStr">
        <is>
          <t>K</t>
        </is>
      </c>
      <c r="D76" s="42" t="inlineStr">
        <is>
          <t>DR Congo</t>
        </is>
      </c>
      <c r="E76" s="41" t="n"/>
      <c r="F76" s="41" t="n"/>
      <c r="G76" s="42" t="inlineStr">
        <is>
          <t>Uzbekistan</t>
        </is>
      </c>
      <c r="H76" s="41">
        <f>IF(AND(E76&lt;&gt;"",F76&lt;&gt;""),IF(E76&gt;F76,3,IF(E76=F76,1,0)),"")</f>
        <v/>
      </c>
      <c r="I76" s="41">
        <f>IF(AND(E76&lt;&gt;"",F76&lt;&gt;""),IF(F76&gt;E76,3,IF(E76=F76,1,0)),"")</f>
        <v/>
      </c>
      <c r="J76" s="41">
        <f>IF(AND(E76&lt;&gt;"",F76&lt;&gt;""),IF(E76&gt;F76,"W",IF(E76=F76,"D","L")),"")</f>
        <v/>
      </c>
      <c r="K76" s="41">
        <f>IF(AND(E76&lt;&gt;"",F76&lt;&gt;""),IF(F76&gt;E76,"W",IF(E76=F76,"D","L")),"")</f>
        <v/>
      </c>
    </row>
    <row r="77">
      <c r="A77" s="43" t="n">
        <v>73</v>
      </c>
      <c r="B77" s="43" t="inlineStr">
        <is>
          <t>28-Jun</t>
        </is>
      </c>
      <c r="C77" s="43" t="inlineStr">
        <is>
          <t>R32</t>
        </is>
      </c>
      <c r="D77" s="44" t="inlineStr">
        <is>
          <t>2nd Group A</t>
        </is>
      </c>
      <c r="E77" s="43" t="n"/>
      <c r="F77" s="43" t="n"/>
      <c r="G77" s="44" t="inlineStr">
        <is>
          <t>2nd Group B</t>
        </is>
      </c>
      <c r="H77" s="43">
        <f>IF(AND(E77&lt;&gt;"",F77&lt;&gt;""),IF(E77&gt;F77,3,IF(E77=F77,1,0)),"")</f>
        <v/>
      </c>
      <c r="I77" s="43">
        <f>IF(AND(E77&lt;&gt;"",F77&lt;&gt;""),IF(F77&gt;E77,3,IF(E77=F77,1,0)),"")</f>
        <v/>
      </c>
      <c r="J77" s="43">
        <f>IF(AND(E77&lt;&gt;"",F77&lt;&gt;""),IF(E77&gt;F77,"W",IF(E77=F77,"D","L")),"")</f>
        <v/>
      </c>
      <c r="K77" s="43">
        <f>IF(AND(E77&lt;&gt;"",F77&lt;&gt;""),IF(F77&gt;E77,"W",IF(E77=F77,"D","L")),"")</f>
        <v/>
      </c>
    </row>
    <row r="78">
      <c r="A78" s="43" t="n">
        <v>74</v>
      </c>
      <c r="B78" s="43" t="inlineStr">
        <is>
          <t>29-Jun</t>
        </is>
      </c>
      <c r="C78" s="43" t="inlineStr">
        <is>
          <t>R32</t>
        </is>
      </c>
      <c r="D78" s="44" t="inlineStr">
        <is>
          <t>1st Group E</t>
        </is>
      </c>
      <c r="E78" s="43" t="n"/>
      <c r="F78" s="43" t="n"/>
      <c r="G78" s="44" t="inlineStr">
        <is>
          <t>3rd ABCDF</t>
        </is>
      </c>
      <c r="H78" s="43">
        <f>IF(AND(E78&lt;&gt;"",F78&lt;&gt;""),IF(E78&gt;F78,3,IF(E78=F78,1,0)),"")</f>
        <v/>
      </c>
      <c r="I78" s="43">
        <f>IF(AND(E78&lt;&gt;"",F78&lt;&gt;""),IF(F78&gt;E78,3,IF(E78=F78,1,0)),"")</f>
        <v/>
      </c>
      <c r="J78" s="43">
        <f>IF(AND(E78&lt;&gt;"",F78&lt;&gt;""),IF(E78&gt;F78,"W",IF(E78=F78,"D","L")),"")</f>
        <v/>
      </c>
      <c r="K78" s="43">
        <f>IF(AND(E78&lt;&gt;"",F78&lt;&gt;""),IF(F78&gt;E78,"W",IF(E78=F78,"D","L")),"")</f>
        <v/>
      </c>
    </row>
    <row r="79">
      <c r="A79" s="43" t="n">
        <v>75</v>
      </c>
      <c r="B79" s="43" t="inlineStr">
        <is>
          <t>29-Jun</t>
        </is>
      </c>
      <c r="C79" s="43" t="inlineStr">
        <is>
          <t>R32</t>
        </is>
      </c>
      <c r="D79" s="44" t="inlineStr">
        <is>
          <t>1st Group F</t>
        </is>
      </c>
      <c r="E79" s="43" t="n"/>
      <c r="F79" s="43" t="n"/>
      <c r="G79" s="44" t="inlineStr">
        <is>
          <t>2nd Group C</t>
        </is>
      </c>
      <c r="H79" s="43">
        <f>IF(AND(E79&lt;&gt;"",F79&lt;&gt;""),IF(E79&gt;F79,3,IF(E79=F79,1,0)),"")</f>
        <v/>
      </c>
      <c r="I79" s="43">
        <f>IF(AND(E79&lt;&gt;"",F79&lt;&gt;""),IF(F79&gt;E79,3,IF(E79=F79,1,0)),"")</f>
        <v/>
      </c>
      <c r="J79" s="43">
        <f>IF(AND(E79&lt;&gt;"",F79&lt;&gt;""),IF(E79&gt;F79,"W",IF(E79=F79,"D","L")),"")</f>
        <v/>
      </c>
      <c r="K79" s="43">
        <f>IF(AND(E79&lt;&gt;"",F79&lt;&gt;""),IF(F79&gt;E79,"W",IF(E79=F79,"D","L")),"")</f>
        <v/>
      </c>
    </row>
    <row r="80">
      <c r="A80" s="43" t="n">
        <v>76</v>
      </c>
      <c r="B80" s="43" t="inlineStr">
        <is>
          <t>29-Jun</t>
        </is>
      </c>
      <c r="C80" s="43" t="inlineStr">
        <is>
          <t>R32</t>
        </is>
      </c>
      <c r="D80" s="44" t="inlineStr">
        <is>
          <t>1st Group C</t>
        </is>
      </c>
      <c r="E80" s="43" t="n"/>
      <c r="F80" s="43" t="n"/>
      <c r="G80" s="44" t="inlineStr">
        <is>
          <t>2nd Group F</t>
        </is>
      </c>
      <c r="H80" s="43">
        <f>IF(AND(E80&lt;&gt;"",F80&lt;&gt;""),IF(E80&gt;F80,3,IF(E80=F80,1,0)),"")</f>
        <v/>
      </c>
      <c r="I80" s="43">
        <f>IF(AND(E80&lt;&gt;"",F80&lt;&gt;""),IF(F80&gt;E80,3,IF(E80=F80,1,0)),"")</f>
        <v/>
      </c>
      <c r="J80" s="43">
        <f>IF(AND(E80&lt;&gt;"",F80&lt;&gt;""),IF(E80&gt;F80,"W",IF(E80=F80,"D","L")),"")</f>
        <v/>
      </c>
      <c r="K80" s="43">
        <f>IF(AND(E80&lt;&gt;"",F80&lt;&gt;""),IF(F80&gt;E80,"W",IF(E80=F80,"D","L")),"")</f>
        <v/>
      </c>
    </row>
    <row r="81">
      <c r="A81" s="43" t="n">
        <v>77</v>
      </c>
      <c r="B81" s="43" t="inlineStr">
        <is>
          <t>30-Jun</t>
        </is>
      </c>
      <c r="C81" s="43" t="inlineStr">
        <is>
          <t>R32</t>
        </is>
      </c>
      <c r="D81" s="44" t="inlineStr">
        <is>
          <t>1st Group I</t>
        </is>
      </c>
      <c r="E81" s="43" t="n"/>
      <c r="F81" s="43" t="n"/>
      <c r="G81" s="44" t="inlineStr">
        <is>
          <t>3rd CDFGH</t>
        </is>
      </c>
      <c r="H81" s="43">
        <f>IF(AND(E81&lt;&gt;"",F81&lt;&gt;""),IF(E81&gt;F81,3,IF(E81=F81,1,0)),"")</f>
        <v/>
      </c>
      <c r="I81" s="43">
        <f>IF(AND(E81&lt;&gt;"",F81&lt;&gt;""),IF(F81&gt;E81,3,IF(E81=F81,1,0)),"")</f>
        <v/>
      </c>
      <c r="J81" s="43">
        <f>IF(AND(E81&lt;&gt;"",F81&lt;&gt;""),IF(E81&gt;F81,"W",IF(E81=F81,"D","L")),"")</f>
        <v/>
      </c>
      <c r="K81" s="43">
        <f>IF(AND(E81&lt;&gt;"",F81&lt;&gt;""),IF(F81&gt;E81,"W",IF(E81=F81,"D","L")),"")</f>
        <v/>
      </c>
    </row>
    <row r="82">
      <c r="A82" s="43" t="n">
        <v>78</v>
      </c>
      <c r="B82" s="43" t="inlineStr">
        <is>
          <t>30-Jun</t>
        </is>
      </c>
      <c r="C82" s="43" t="inlineStr">
        <is>
          <t>R32</t>
        </is>
      </c>
      <c r="D82" s="44" t="inlineStr">
        <is>
          <t>2nd Group E</t>
        </is>
      </c>
      <c r="E82" s="43" t="n"/>
      <c r="F82" s="43" t="n"/>
      <c r="G82" s="44" t="inlineStr">
        <is>
          <t>2nd Group I</t>
        </is>
      </c>
      <c r="H82" s="43">
        <f>IF(AND(E82&lt;&gt;"",F82&lt;&gt;""),IF(E82&gt;F82,3,IF(E82=F82,1,0)),"")</f>
        <v/>
      </c>
      <c r="I82" s="43">
        <f>IF(AND(E82&lt;&gt;"",F82&lt;&gt;""),IF(F82&gt;E82,3,IF(E82=F82,1,0)),"")</f>
        <v/>
      </c>
      <c r="J82" s="43">
        <f>IF(AND(E82&lt;&gt;"",F82&lt;&gt;""),IF(E82&gt;F82,"W",IF(E82=F82,"D","L")),"")</f>
        <v/>
      </c>
      <c r="K82" s="43">
        <f>IF(AND(E82&lt;&gt;"",F82&lt;&gt;""),IF(F82&gt;E82,"W",IF(E82=F82,"D","L")),"")</f>
        <v/>
      </c>
    </row>
    <row r="83">
      <c r="A83" s="43" t="n">
        <v>79</v>
      </c>
      <c r="B83" s="43" t="inlineStr">
        <is>
          <t>30-Jun</t>
        </is>
      </c>
      <c r="C83" s="43" t="inlineStr">
        <is>
          <t>R32</t>
        </is>
      </c>
      <c r="D83" s="44" t="inlineStr">
        <is>
          <t>1st Group A</t>
        </is>
      </c>
      <c r="E83" s="43" t="n"/>
      <c r="F83" s="43" t="n"/>
      <c r="G83" s="44" t="inlineStr">
        <is>
          <t>3rd CEFHI</t>
        </is>
      </c>
      <c r="H83" s="43">
        <f>IF(AND(E83&lt;&gt;"",F83&lt;&gt;""),IF(E83&gt;F83,3,IF(E83=F83,1,0)),"")</f>
        <v/>
      </c>
      <c r="I83" s="43">
        <f>IF(AND(E83&lt;&gt;"",F83&lt;&gt;""),IF(F83&gt;E83,3,IF(E83=F83,1,0)),"")</f>
        <v/>
      </c>
      <c r="J83" s="43">
        <f>IF(AND(E83&lt;&gt;"",F83&lt;&gt;""),IF(E83&gt;F83,"W",IF(E83=F83,"D","L")),"")</f>
        <v/>
      </c>
      <c r="K83" s="43">
        <f>IF(AND(E83&lt;&gt;"",F83&lt;&gt;""),IF(F83&gt;E83,"W",IF(E83=F83,"D","L")),"")</f>
        <v/>
      </c>
    </row>
    <row r="84">
      <c r="A84" s="43" t="n">
        <v>80</v>
      </c>
      <c r="B84" s="43" t="inlineStr">
        <is>
          <t>01-Jul</t>
        </is>
      </c>
      <c r="C84" s="43" t="inlineStr">
        <is>
          <t>R32</t>
        </is>
      </c>
      <c r="D84" s="44" t="inlineStr">
        <is>
          <t>1st Group L</t>
        </is>
      </c>
      <c r="E84" s="43" t="n"/>
      <c r="F84" s="43" t="n"/>
      <c r="G84" s="44" t="inlineStr">
        <is>
          <t>3rd EHIJK</t>
        </is>
      </c>
      <c r="H84" s="43">
        <f>IF(AND(E84&lt;&gt;"",F84&lt;&gt;""),IF(E84&gt;F84,3,IF(E84=F84,1,0)),"")</f>
        <v/>
      </c>
      <c r="I84" s="43">
        <f>IF(AND(E84&lt;&gt;"",F84&lt;&gt;""),IF(F84&gt;E84,3,IF(E84=F84,1,0)),"")</f>
        <v/>
      </c>
      <c r="J84" s="43">
        <f>IF(AND(E84&lt;&gt;"",F84&lt;&gt;""),IF(E84&gt;F84,"W",IF(E84=F84,"D","L")),"")</f>
        <v/>
      </c>
      <c r="K84" s="43">
        <f>IF(AND(E84&lt;&gt;"",F84&lt;&gt;""),IF(F84&gt;E84,"W",IF(E84=F84,"D","L")),"")</f>
        <v/>
      </c>
    </row>
    <row r="85">
      <c r="A85" s="43" t="n">
        <v>81</v>
      </c>
      <c r="B85" s="43" t="inlineStr">
        <is>
          <t>01-Jul</t>
        </is>
      </c>
      <c r="C85" s="43" t="inlineStr">
        <is>
          <t>R32</t>
        </is>
      </c>
      <c r="D85" s="44" t="inlineStr">
        <is>
          <t>1st Group D</t>
        </is>
      </c>
      <c r="E85" s="43" t="n"/>
      <c r="F85" s="43" t="n"/>
      <c r="G85" s="44" t="inlineStr">
        <is>
          <t>3rd BEFIJ</t>
        </is>
      </c>
      <c r="H85" s="43">
        <f>IF(AND(E85&lt;&gt;"",F85&lt;&gt;""),IF(E85&gt;F85,3,IF(E85=F85,1,0)),"")</f>
        <v/>
      </c>
      <c r="I85" s="43">
        <f>IF(AND(E85&lt;&gt;"",F85&lt;&gt;""),IF(F85&gt;E85,3,IF(E85=F85,1,0)),"")</f>
        <v/>
      </c>
      <c r="J85" s="43">
        <f>IF(AND(E85&lt;&gt;"",F85&lt;&gt;""),IF(E85&gt;F85,"W",IF(E85=F85,"D","L")),"")</f>
        <v/>
      </c>
      <c r="K85" s="43">
        <f>IF(AND(E85&lt;&gt;"",F85&lt;&gt;""),IF(F85&gt;E85,"W",IF(E85=F85,"D","L")),"")</f>
        <v/>
      </c>
    </row>
    <row r="86">
      <c r="A86" s="43" t="n">
        <v>82</v>
      </c>
      <c r="B86" s="43" t="inlineStr">
        <is>
          <t>01-Jul</t>
        </is>
      </c>
      <c r="C86" s="43" t="inlineStr">
        <is>
          <t>R32</t>
        </is>
      </c>
      <c r="D86" s="44" t="inlineStr">
        <is>
          <t>1st Group G</t>
        </is>
      </c>
      <c r="E86" s="43" t="n"/>
      <c r="F86" s="43" t="n"/>
      <c r="G86" s="44" t="inlineStr">
        <is>
          <t>3rd AEHIJ</t>
        </is>
      </c>
      <c r="H86" s="43">
        <f>IF(AND(E86&lt;&gt;"",F86&lt;&gt;""),IF(E86&gt;F86,3,IF(E86=F86,1,0)),"")</f>
        <v/>
      </c>
      <c r="I86" s="43">
        <f>IF(AND(E86&lt;&gt;"",F86&lt;&gt;""),IF(F86&gt;E86,3,IF(E86=F86,1,0)),"")</f>
        <v/>
      </c>
      <c r="J86" s="43">
        <f>IF(AND(E86&lt;&gt;"",F86&lt;&gt;""),IF(E86&gt;F86,"W",IF(E86=F86,"D","L")),"")</f>
        <v/>
      </c>
      <c r="K86" s="43">
        <f>IF(AND(E86&lt;&gt;"",F86&lt;&gt;""),IF(F86&gt;E86,"W",IF(E86=F86,"D","L")),"")</f>
        <v/>
      </c>
    </row>
    <row r="87">
      <c r="A87" s="43" t="n">
        <v>83</v>
      </c>
      <c r="B87" s="43" t="inlineStr">
        <is>
          <t>02-Jul</t>
        </is>
      </c>
      <c r="C87" s="43" t="inlineStr">
        <is>
          <t>R32</t>
        </is>
      </c>
      <c r="D87" s="44" t="inlineStr">
        <is>
          <t>2nd Group K</t>
        </is>
      </c>
      <c r="E87" s="43" t="n"/>
      <c r="F87" s="43" t="n"/>
      <c r="G87" s="44" t="inlineStr">
        <is>
          <t>2nd Group L</t>
        </is>
      </c>
      <c r="H87" s="43">
        <f>IF(AND(E87&lt;&gt;"",F87&lt;&gt;""),IF(E87&gt;F87,3,IF(E87=F87,1,0)),"")</f>
        <v/>
      </c>
      <c r="I87" s="43">
        <f>IF(AND(E87&lt;&gt;"",F87&lt;&gt;""),IF(F87&gt;E87,3,IF(E87=F87,1,0)),"")</f>
        <v/>
      </c>
      <c r="J87" s="43">
        <f>IF(AND(E87&lt;&gt;"",F87&lt;&gt;""),IF(E87&gt;F87,"W",IF(E87=F87,"D","L")),"")</f>
        <v/>
      </c>
      <c r="K87" s="43">
        <f>IF(AND(E87&lt;&gt;"",F87&lt;&gt;""),IF(F87&gt;E87,"W",IF(E87=F87,"D","L")),"")</f>
        <v/>
      </c>
    </row>
    <row r="88">
      <c r="A88" s="43" t="n">
        <v>84</v>
      </c>
      <c r="B88" s="43" t="inlineStr">
        <is>
          <t>02-Jul</t>
        </is>
      </c>
      <c r="C88" s="43" t="inlineStr">
        <is>
          <t>R32</t>
        </is>
      </c>
      <c r="D88" s="44" t="inlineStr">
        <is>
          <t>1st Group H</t>
        </is>
      </c>
      <c r="E88" s="43" t="n"/>
      <c r="F88" s="43" t="n"/>
      <c r="G88" s="44" t="inlineStr">
        <is>
          <t>2nd Group J</t>
        </is>
      </c>
      <c r="H88" s="43">
        <f>IF(AND(E88&lt;&gt;"",F88&lt;&gt;""),IF(E88&gt;F88,3,IF(E88=F88,1,0)),"")</f>
        <v/>
      </c>
      <c r="I88" s="43">
        <f>IF(AND(E88&lt;&gt;"",F88&lt;&gt;""),IF(F88&gt;E88,3,IF(E88=F88,1,0)),"")</f>
        <v/>
      </c>
      <c r="J88" s="43">
        <f>IF(AND(E88&lt;&gt;"",F88&lt;&gt;""),IF(E88&gt;F88,"W",IF(E88=F88,"D","L")),"")</f>
        <v/>
      </c>
      <c r="K88" s="43">
        <f>IF(AND(E88&lt;&gt;"",F88&lt;&gt;""),IF(F88&gt;E88,"W",IF(E88=F88,"D","L")),"")</f>
        <v/>
      </c>
    </row>
    <row r="89">
      <c r="A89" s="43" t="n">
        <v>85</v>
      </c>
      <c r="B89" s="43" t="inlineStr">
        <is>
          <t>02-Jul</t>
        </is>
      </c>
      <c r="C89" s="43" t="inlineStr">
        <is>
          <t>R32</t>
        </is>
      </c>
      <c r="D89" s="44" t="inlineStr">
        <is>
          <t>1st Group B</t>
        </is>
      </c>
      <c r="E89" s="43" t="n"/>
      <c r="F89" s="43" t="n"/>
      <c r="G89" s="44" t="inlineStr">
        <is>
          <t>3rd EFGIJ</t>
        </is>
      </c>
      <c r="H89" s="43">
        <f>IF(AND(E89&lt;&gt;"",F89&lt;&gt;""),IF(E89&gt;F89,3,IF(E89=F89,1,0)),"")</f>
        <v/>
      </c>
      <c r="I89" s="43">
        <f>IF(AND(E89&lt;&gt;"",F89&lt;&gt;""),IF(F89&gt;E89,3,IF(E89=F89,1,0)),"")</f>
        <v/>
      </c>
      <c r="J89" s="43">
        <f>IF(AND(E89&lt;&gt;"",F89&lt;&gt;""),IF(E89&gt;F89,"W",IF(E89=F89,"D","L")),"")</f>
        <v/>
      </c>
      <c r="K89" s="43">
        <f>IF(AND(E89&lt;&gt;"",F89&lt;&gt;""),IF(F89&gt;E89,"W",IF(E89=F89,"D","L")),"")</f>
        <v/>
      </c>
    </row>
    <row r="90">
      <c r="A90" s="43" t="n">
        <v>86</v>
      </c>
      <c r="B90" s="43" t="inlineStr">
        <is>
          <t>03-Jul</t>
        </is>
      </c>
      <c r="C90" s="43" t="inlineStr">
        <is>
          <t>R32</t>
        </is>
      </c>
      <c r="D90" s="44" t="inlineStr">
        <is>
          <t>1st Group J</t>
        </is>
      </c>
      <c r="E90" s="43" t="n"/>
      <c r="F90" s="43" t="n"/>
      <c r="G90" s="44" t="inlineStr">
        <is>
          <t>2nd Group H</t>
        </is>
      </c>
      <c r="H90" s="43">
        <f>IF(AND(E90&lt;&gt;"",F90&lt;&gt;""),IF(E90&gt;F90,3,IF(E90=F90,1,0)),"")</f>
        <v/>
      </c>
      <c r="I90" s="43">
        <f>IF(AND(E90&lt;&gt;"",F90&lt;&gt;""),IF(F90&gt;E90,3,IF(E90=F90,1,0)),"")</f>
        <v/>
      </c>
      <c r="J90" s="43">
        <f>IF(AND(E90&lt;&gt;"",F90&lt;&gt;""),IF(E90&gt;F90,"W",IF(E90=F90,"D","L")),"")</f>
        <v/>
      </c>
      <c r="K90" s="43">
        <f>IF(AND(E90&lt;&gt;"",F90&lt;&gt;""),IF(F90&gt;E90,"W",IF(E90=F90,"D","L")),"")</f>
        <v/>
      </c>
    </row>
    <row r="91">
      <c r="A91" s="43" t="n">
        <v>87</v>
      </c>
      <c r="B91" s="43" t="inlineStr">
        <is>
          <t>03-Jul</t>
        </is>
      </c>
      <c r="C91" s="43" t="inlineStr">
        <is>
          <t>R32</t>
        </is>
      </c>
      <c r="D91" s="44" t="inlineStr">
        <is>
          <t>1st Group K</t>
        </is>
      </c>
      <c r="E91" s="43" t="n"/>
      <c r="F91" s="43" t="n"/>
      <c r="G91" s="44" t="inlineStr">
        <is>
          <t>3rd DEIJL</t>
        </is>
      </c>
      <c r="H91" s="43">
        <f>IF(AND(E91&lt;&gt;"",F91&lt;&gt;""),IF(E91&gt;F91,3,IF(E91=F91,1,0)),"")</f>
        <v/>
      </c>
      <c r="I91" s="43">
        <f>IF(AND(E91&lt;&gt;"",F91&lt;&gt;""),IF(F91&gt;E91,3,IF(E91=F91,1,0)),"")</f>
        <v/>
      </c>
      <c r="J91" s="43">
        <f>IF(AND(E91&lt;&gt;"",F91&lt;&gt;""),IF(E91&gt;F91,"W",IF(E91=F91,"D","L")),"")</f>
        <v/>
      </c>
      <c r="K91" s="43">
        <f>IF(AND(E91&lt;&gt;"",F91&lt;&gt;""),IF(F91&gt;E91,"W",IF(E91=F91,"D","L")),"")</f>
        <v/>
      </c>
    </row>
    <row r="92">
      <c r="A92" s="43" t="n">
        <v>88</v>
      </c>
      <c r="B92" s="43" t="inlineStr">
        <is>
          <t>03-Jul</t>
        </is>
      </c>
      <c r="C92" s="43" t="inlineStr">
        <is>
          <t>R32</t>
        </is>
      </c>
      <c r="D92" s="44" t="inlineStr">
        <is>
          <t>2nd Group D</t>
        </is>
      </c>
      <c r="E92" s="43" t="n"/>
      <c r="F92" s="43" t="n"/>
      <c r="G92" s="44" t="inlineStr">
        <is>
          <t>2nd Group G</t>
        </is>
      </c>
      <c r="H92" s="43">
        <f>IF(AND(E92&lt;&gt;"",F92&lt;&gt;""),IF(E92&gt;F92,3,IF(E92=F92,1,0)),"")</f>
        <v/>
      </c>
      <c r="I92" s="43">
        <f>IF(AND(E92&lt;&gt;"",F92&lt;&gt;""),IF(F92&gt;E92,3,IF(E92=F92,1,0)),"")</f>
        <v/>
      </c>
      <c r="J92" s="43">
        <f>IF(AND(E92&lt;&gt;"",F92&lt;&gt;""),IF(E92&gt;F92,"W",IF(E92=F92,"D","L")),"")</f>
        <v/>
      </c>
      <c r="K92" s="43">
        <f>IF(AND(E92&lt;&gt;"",F92&lt;&gt;""),IF(F92&gt;E92,"W",IF(E92=F92,"D","L")),"")</f>
        <v/>
      </c>
    </row>
    <row r="93">
      <c r="A93" s="43" t="n">
        <v>89</v>
      </c>
      <c r="B93" s="43" t="inlineStr">
        <is>
          <t>04-Jul</t>
        </is>
      </c>
      <c r="C93" s="43" t="inlineStr">
        <is>
          <t>R16</t>
        </is>
      </c>
      <c r="D93" s="44" t="inlineStr">
        <is>
          <t>W74</t>
        </is>
      </c>
      <c r="E93" s="43" t="n"/>
      <c r="F93" s="43" t="n"/>
      <c r="G93" s="44" t="inlineStr">
        <is>
          <t>W77</t>
        </is>
      </c>
      <c r="H93" s="43">
        <f>IF(AND(E93&lt;&gt;"",F93&lt;&gt;""),IF(E93&gt;F93,3,IF(E93=F93,1,0)),"")</f>
        <v/>
      </c>
      <c r="I93" s="43">
        <f>IF(AND(E93&lt;&gt;"",F93&lt;&gt;""),IF(F93&gt;E93,3,IF(E93=F93,1,0)),"")</f>
        <v/>
      </c>
      <c r="J93" s="43">
        <f>IF(AND(E93&lt;&gt;"",F93&lt;&gt;""),IF(E93&gt;F93,"W",IF(E93=F93,"D","L")),"")</f>
        <v/>
      </c>
      <c r="K93" s="43">
        <f>IF(AND(E93&lt;&gt;"",F93&lt;&gt;""),IF(F93&gt;E93,"W",IF(E93=F93,"D","L")),"")</f>
        <v/>
      </c>
    </row>
    <row r="94">
      <c r="A94" s="43" t="n">
        <v>90</v>
      </c>
      <c r="B94" s="43" t="inlineStr">
        <is>
          <t>04-Jul</t>
        </is>
      </c>
      <c r="C94" s="43" t="inlineStr">
        <is>
          <t>R16</t>
        </is>
      </c>
      <c r="D94" s="44" t="inlineStr">
        <is>
          <t>W73</t>
        </is>
      </c>
      <c r="E94" s="43" t="n"/>
      <c r="F94" s="43" t="n"/>
      <c r="G94" s="44" t="inlineStr">
        <is>
          <t>W75</t>
        </is>
      </c>
      <c r="H94" s="43">
        <f>IF(AND(E94&lt;&gt;"",F94&lt;&gt;""),IF(E94&gt;F94,3,IF(E94=F94,1,0)),"")</f>
        <v/>
      </c>
      <c r="I94" s="43">
        <f>IF(AND(E94&lt;&gt;"",F94&lt;&gt;""),IF(F94&gt;E94,3,IF(E94=F94,1,0)),"")</f>
        <v/>
      </c>
      <c r="J94" s="43">
        <f>IF(AND(E94&lt;&gt;"",F94&lt;&gt;""),IF(E94&gt;F94,"W",IF(E94=F94,"D","L")),"")</f>
        <v/>
      </c>
      <c r="K94" s="43">
        <f>IF(AND(E94&lt;&gt;"",F94&lt;&gt;""),IF(F94&gt;E94,"W",IF(E94=F94,"D","L")),"")</f>
        <v/>
      </c>
    </row>
    <row r="95">
      <c r="A95" s="43" t="n">
        <v>91</v>
      </c>
      <c r="B95" s="43" t="inlineStr">
        <is>
          <t>05-Jul</t>
        </is>
      </c>
      <c r="C95" s="43" t="inlineStr">
        <is>
          <t>R16</t>
        </is>
      </c>
      <c r="D95" s="44" t="inlineStr">
        <is>
          <t>W76</t>
        </is>
      </c>
      <c r="E95" s="43" t="n"/>
      <c r="F95" s="43" t="n"/>
      <c r="G95" s="44" t="inlineStr">
        <is>
          <t>W78</t>
        </is>
      </c>
      <c r="H95" s="43">
        <f>IF(AND(E95&lt;&gt;"",F95&lt;&gt;""),IF(E95&gt;F95,3,IF(E95=F95,1,0)),"")</f>
        <v/>
      </c>
      <c r="I95" s="43">
        <f>IF(AND(E95&lt;&gt;"",F95&lt;&gt;""),IF(F95&gt;E95,3,IF(E95=F95,1,0)),"")</f>
        <v/>
      </c>
      <c r="J95" s="43">
        <f>IF(AND(E95&lt;&gt;"",F95&lt;&gt;""),IF(E95&gt;F95,"W",IF(E95=F95,"D","L")),"")</f>
        <v/>
      </c>
      <c r="K95" s="43">
        <f>IF(AND(E95&lt;&gt;"",F95&lt;&gt;""),IF(F95&gt;E95,"W",IF(E95=F95,"D","L")),"")</f>
        <v/>
      </c>
    </row>
    <row r="96">
      <c r="A96" s="43" t="n">
        <v>92</v>
      </c>
      <c r="B96" s="43" t="inlineStr">
        <is>
          <t>05-Jul</t>
        </is>
      </c>
      <c r="C96" s="43" t="inlineStr">
        <is>
          <t>R16</t>
        </is>
      </c>
      <c r="D96" s="44" t="inlineStr">
        <is>
          <t>W79</t>
        </is>
      </c>
      <c r="E96" s="43" t="n"/>
      <c r="F96" s="43" t="n"/>
      <c r="G96" s="44" t="inlineStr">
        <is>
          <t>W80</t>
        </is>
      </c>
      <c r="H96" s="43">
        <f>IF(AND(E96&lt;&gt;"",F96&lt;&gt;""),IF(E96&gt;F96,3,IF(E96=F96,1,0)),"")</f>
        <v/>
      </c>
      <c r="I96" s="43">
        <f>IF(AND(E96&lt;&gt;"",F96&lt;&gt;""),IF(F96&gt;E96,3,IF(E96=F96,1,0)),"")</f>
        <v/>
      </c>
      <c r="J96" s="43">
        <f>IF(AND(E96&lt;&gt;"",F96&lt;&gt;""),IF(E96&gt;F96,"W",IF(E96=F96,"D","L")),"")</f>
        <v/>
      </c>
      <c r="K96" s="43">
        <f>IF(AND(E96&lt;&gt;"",F96&lt;&gt;""),IF(F96&gt;E96,"W",IF(E96=F96,"D","L")),"")</f>
        <v/>
      </c>
    </row>
    <row r="97">
      <c r="A97" s="43" t="n">
        <v>93</v>
      </c>
      <c r="B97" s="43" t="inlineStr">
        <is>
          <t>06-Jul</t>
        </is>
      </c>
      <c r="C97" s="43" t="inlineStr">
        <is>
          <t>R16</t>
        </is>
      </c>
      <c r="D97" s="44" t="inlineStr">
        <is>
          <t>W83</t>
        </is>
      </c>
      <c r="E97" s="43" t="n"/>
      <c r="F97" s="43" t="n"/>
      <c r="G97" s="44" t="inlineStr">
        <is>
          <t>W84</t>
        </is>
      </c>
      <c r="H97" s="43">
        <f>IF(AND(E97&lt;&gt;"",F97&lt;&gt;""),IF(E97&gt;F97,3,IF(E97=F97,1,0)),"")</f>
        <v/>
      </c>
      <c r="I97" s="43">
        <f>IF(AND(E97&lt;&gt;"",F97&lt;&gt;""),IF(F97&gt;E97,3,IF(E97=F97,1,0)),"")</f>
        <v/>
      </c>
      <c r="J97" s="43">
        <f>IF(AND(E97&lt;&gt;"",F97&lt;&gt;""),IF(E97&gt;F97,"W",IF(E97=F97,"D","L")),"")</f>
        <v/>
      </c>
      <c r="K97" s="43">
        <f>IF(AND(E97&lt;&gt;"",F97&lt;&gt;""),IF(F97&gt;E97,"W",IF(E97=F97,"D","L")),"")</f>
        <v/>
      </c>
    </row>
    <row r="98">
      <c r="A98" s="43" t="n">
        <v>94</v>
      </c>
      <c r="B98" s="43" t="inlineStr">
        <is>
          <t>06-Jul</t>
        </is>
      </c>
      <c r="C98" s="43" t="inlineStr">
        <is>
          <t>R16</t>
        </is>
      </c>
      <c r="D98" s="44" t="inlineStr">
        <is>
          <t>W81</t>
        </is>
      </c>
      <c r="E98" s="43" t="n"/>
      <c r="F98" s="43" t="n"/>
      <c r="G98" s="44" t="inlineStr">
        <is>
          <t>W82</t>
        </is>
      </c>
      <c r="H98" s="43">
        <f>IF(AND(E98&lt;&gt;"",F98&lt;&gt;""),IF(E98&gt;F98,3,IF(E98=F98,1,0)),"")</f>
        <v/>
      </c>
      <c r="I98" s="43">
        <f>IF(AND(E98&lt;&gt;"",F98&lt;&gt;""),IF(F98&gt;E98,3,IF(E98=F98,1,0)),"")</f>
        <v/>
      </c>
      <c r="J98" s="43">
        <f>IF(AND(E98&lt;&gt;"",F98&lt;&gt;""),IF(E98&gt;F98,"W",IF(E98=F98,"D","L")),"")</f>
        <v/>
      </c>
      <c r="K98" s="43">
        <f>IF(AND(E98&lt;&gt;"",F98&lt;&gt;""),IF(F98&gt;E98,"W",IF(E98=F98,"D","L")),"")</f>
        <v/>
      </c>
    </row>
    <row r="99">
      <c r="A99" s="43" t="n">
        <v>95</v>
      </c>
      <c r="B99" s="43" t="inlineStr">
        <is>
          <t>07-Jul</t>
        </is>
      </c>
      <c r="C99" s="43" t="inlineStr">
        <is>
          <t>R16</t>
        </is>
      </c>
      <c r="D99" s="44" t="inlineStr">
        <is>
          <t>W86</t>
        </is>
      </c>
      <c r="E99" s="43" t="n"/>
      <c r="F99" s="43" t="n"/>
      <c r="G99" s="44" t="inlineStr">
        <is>
          <t>W88</t>
        </is>
      </c>
      <c r="H99" s="43">
        <f>IF(AND(E99&lt;&gt;"",F99&lt;&gt;""),IF(E99&gt;F99,3,IF(E99=F99,1,0)),"")</f>
        <v/>
      </c>
      <c r="I99" s="43">
        <f>IF(AND(E99&lt;&gt;"",F99&lt;&gt;""),IF(F99&gt;E99,3,IF(E99=F99,1,0)),"")</f>
        <v/>
      </c>
      <c r="J99" s="43">
        <f>IF(AND(E99&lt;&gt;"",F99&lt;&gt;""),IF(E99&gt;F99,"W",IF(E99=F99,"D","L")),"")</f>
        <v/>
      </c>
      <c r="K99" s="43">
        <f>IF(AND(E99&lt;&gt;"",F99&lt;&gt;""),IF(F99&gt;E99,"W",IF(E99=F99,"D","L")),"")</f>
        <v/>
      </c>
    </row>
    <row r="100">
      <c r="A100" s="43" t="n">
        <v>96</v>
      </c>
      <c r="B100" s="43" t="inlineStr">
        <is>
          <t>07-Jul</t>
        </is>
      </c>
      <c r="C100" s="43" t="inlineStr">
        <is>
          <t>R16</t>
        </is>
      </c>
      <c r="D100" s="44" t="inlineStr">
        <is>
          <t>W85</t>
        </is>
      </c>
      <c r="E100" s="43" t="n"/>
      <c r="F100" s="43" t="n"/>
      <c r="G100" s="44" t="inlineStr">
        <is>
          <t>W87</t>
        </is>
      </c>
      <c r="H100" s="43">
        <f>IF(AND(E100&lt;&gt;"",F100&lt;&gt;""),IF(E100&gt;F100,3,IF(E100=F100,1,0)),"")</f>
        <v/>
      </c>
      <c r="I100" s="43">
        <f>IF(AND(E100&lt;&gt;"",F100&lt;&gt;""),IF(F100&gt;E100,3,IF(E100=F100,1,0)),"")</f>
        <v/>
      </c>
      <c r="J100" s="43">
        <f>IF(AND(E100&lt;&gt;"",F100&lt;&gt;""),IF(E100&gt;F100,"W",IF(E100=F100,"D","L")),"")</f>
        <v/>
      </c>
      <c r="K100" s="43">
        <f>IF(AND(E100&lt;&gt;"",F100&lt;&gt;""),IF(F100&gt;E100,"W",IF(E100=F100,"D","L")),"")</f>
        <v/>
      </c>
    </row>
    <row r="101">
      <c r="A101" s="43" t="n">
        <v>97</v>
      </c>
      <c r="B101" s="43" t="inlineStr">
        <is>
          <t>09-Jul</t>
        </is>
      </c>
      <c r="C101" s="43" t="inlineStr">
        <is>
          <t>QF</t>
        </is>
      </c>
      <c r="D101" s="44" t="inlineStr">
        <is>
          <t>W89</t>
        </is>
      </c>
      <c r="E101" s="43" t="n"/>
      <c r="F101" s="43" t="n"/>
      <c r="G101" s="44" t="inlineStr">
        <is>
          <t>W90</t>
        </is>
      </c>
      <c r="H101" s="43">
        <f>IF(AND(E101&lt;&gt;"",F101&lt;&gt;""),IF(E101&gt;F101,3,IF(E101=F101,1,0)),"")</f>
        <v/>
      </c>
      <c r="I101" s="43">
        <f>IF(AND(E101&lt;&gt;"",F101&lt;&gt;""),IF(F101&gt;E101,3,IF(E101=F101,1,0)),"")</f>
        <v/>
      </c>
      <c r="J101" s="43">
        <f>IF(AND(E101&lt;&gt;"",F101&lt;&gt;""),IF(E101&gt;F101,"W",IF(E101=F101,"D","L")),"")</f>
        <v/>
      </c>
      <c r="K101" s="43">
        <f>IF(AND(E101&lt;&gt;"",F101&lt;&gt;""),IF(F101&gt;E101,"W",IF(E101=F101,"D","L")),"")</f>
        <v/>
      </c>
    </row>
    <row r="102">
      <c r="A102" s="43" t="n">
        <v>98</v>
      </c>
      <c r="B102" s="43" t="inlineStr">
        <is>
          <t>10-Jul</t>
        </is>
      </c>
      <c r="C102" s="43" t="inlineStr">
        <is>
          <t>QF</t>
        </is>
      </c>
      <c r="D102" s="44" t="inlineStr">
        <is>
          <t>W93</t>
        </is>
      </c>
      <c r="E102" s="43" t="n"/>
      <c r="F102" s="43" t="n"/>
      <c r="G102" s="44" t="inlineStr">
        <is>
          <t>W94</t>
        </is>
      </c>
      <c r="H102" s="43">
        <f>IF(AND(E102&lt;&gt;"",F102&lt;&gt;""),IF(E102&gt;F102,3,IF(E102=F102,1,0)),"")</f>
        <v/>
      </c>
      <c r="I102" s="43">
        <f>IF(AND(E102&lt;&gt;"",F102&lt;&gt;""),IF(F102&gt;E102,3,IF(E102=F102,1,0)),"")</f>
        <v/>
      </c>
      <c r="J102" s="43">
        <f>IF(AND(E102&lt;&gt;"",F102&lt;&gt;""),IF(E102&gt;F102,"W",IF(E102=F102,"D","L")),"")</f>
        <v/>
      </c>
      <c r="K102" s="43">
        <f>IF(AND(E102&lt;&gt;"",F102&lt;&gt;""),IF(F102&gt;E102,"W",IF(E102=F102,"D","L")),"")</f>
        <v/>
      </c>
    </row>
    <row r="103">
      <c r="A103" s="43" t="n">
        <v>99</v>
      </c>
      <c r="B103" s="43" t="inlineStr">
        <is>
          <t>11-Jul</t>
        </is>
      </c>
      <c r="C103" s="43" t="inlineStr">
        <is>
          <t>QF</t>
        </is>
      </c>
      <c r="D103" s="44" t="inlineStr">
        <is>
          <t>W91</t>
        </is>
      </c>
      <c r="E103" s="43" t="n"/>
      <c r="F103" s="43" t="n"/>
      <c r="G103" s="44" t="inlineStr">
        <is>
          <t>W92</t>
        </is>
      </c>
      <c r="H103" s="43">
        <f>IF(AND(E103&lt;&gt;"",F103&lt;&gt;""),IF(E103&gt;F103,3,IF(E103=F103,1,0)),"")</f>
        <v/>
      </c>
      <c r="I103" s="43">
        <f>IF(AND(E103&lt;&gt;"",F103&lt;&gt;""),IF(F103&gt;E103,3,IF(E103=F103,1,0)),"")</f>
        <v/>
      </c>
      <c r="J103" s="43">
        <f>IF(AND(E103&lt;&gt;"",F103&lt;&gt;""),IF(E103&gt;F103,"W",IF(E103=F103,"D","L")),"")</f>
        <v/>
      </c>
      <c r="K103" s="43">
        <f>IF(AND(E103&lt;&gt;"",F103&lt;&gt;""),IF(F103&gt;E103,"W",IF(E103=F103,"D","L")),"")</f>
        <v/>
      </c>
    </row>
    <row r="104">
      <c r="A104" s="43" t="n">
        <v>100</v>
      </c>
      <c r="B104" s="43" t="inlineStr">
        <is>
          <t>11-Jul</t>
        </is>
      </c>
      <c r="C104" s="43" t="inlineStr">
        <is>
          <t>QF</t>
        </is>
      </c>
      <c r="D104" s="44" t="inlineStr">
        <is>
          <t>W95</t>
        </is>
      </c>
      <c r="E104" s="43" t="n"/>
      <c r="F104" s="43" t="n"/>
      <c r="G104" s="44" t="inlineStr">
        <is>
          <t>W96</t>
        </is>
      </c>
      <c r="H104" s="43">
        <f>IF(AND(E104&lt;&gt;"",F104&lt;&gt;""),IF(E104&gt;F104,3,IF(E104=F104,1,0)),"")</f>
        <v/>
      </c>
      <c r="I104" s="43">
        <f>IF(AND(E104&lt;&gt;"",F104&lt;&gt;""),IF(F104&gt;E104,3,IF(E104=F104,1,0)),"")</f>
        <v/>
      </c>
      <c r="J104" s="43">
        <f>IF(AND(E104&lt;&gt;"",F104&lt;&gt;""),IF(E104&gt;F104,"W",IF(E104=F104,"D","L")),"")</f>
        <v/>
      </c>
      <c r="K104" s="43">
        <f>IF(AND(E104&lt;&gt;"",F104&lt;&gt;""),IF(F104&gt;E104,"W",IF(E104=F104,"D","L")),"")</f>
        <v/>
      </c>
    </row>
    <row r="105">
      <c r="A105" s="43" t="n">
        <v>101</v>
      </c>
      <c r="B105" s="43" t="inlineStr">
        <is>
          <t>14-Jul</t>
        </is>
      </c>
      <c r="C105" s="43" t="inlineStr">
        <is>
          <t>SF</t>
        </is>
      </c>
      <c r="D105" s="44" t="inlineStr">
        <is>
          <t>W97</t>
        </is>
      </c>
      <c r="E105" s="43" t="n"/>
      <c r="F105" s="43" t="n"/>
      <c r="G105" s="44" t="inlineStr">
        <is>
          <t>W98</t>
        </is>
      </c>
      <c r="H105" s="43">
        <f>IF(AND(E105&lt;&gt;"",F105&lt;&gt;""),IF(E105&gt;F105,3,IF(E105=F105,1,0)),"")</f>
        <v/>
      </c>
      <c r="I105" s="43">
        <f>IF(AND(E105&lt;&gt;"",F105&lt;&gt;""),IF(F105&gt;E105,3,IF(E105=F105,1,0)),"")</f>
        <v/>
      </c>
      <c r="J105" s="43">
        <f>IF(AND(E105&lt;&gt;"",F105&lt;&gt;""),IF(E105&gt;F105,"W",IF(E105=F105,"D","L")),"")</f>
        <v/>
      </c>
      <c r="K105" s="43">
        <f>IF(AND(E105&lt;&gt;"",F105&lt;&gt;""),IF(F105&gt;E105,"W",IF(E105=F105,"D","L")),"")</f>
        <v/>
      </c>
    </row>
    <row r="106">
      <c r="A106" s="43" t="n">
        <v>102</v>
      </c>
      <c r="B106" s="43" t="inlineStr">
        <is>
          <t>15-Jul</t>
        </is>
      </c>
      <c r="C106" s="43" t="inlineStr">
        <is>
          <t>SF</t>
        </is>
      </c>
      <c r="D106" s="44" t="inlineStr">
        <is>
          <t>W99</t>
        </is>
      </c>
      <c r="E106" s="43" t="n"/>
      <c r="F106" s="43" t="n"/>
      <c r="G106" s="44" t="inlineStr">
        <is>
          <t>W100</t>
        </is>
      </c>
      <c r="H106" s="43">
        <f>IF(AND(E106&lt;&gt;"",F106&lt;&gt;""),IF(E106&gt;F106,3,IF(E106=F106,1,0)),"")</f>
        <v/>
      </c>
      <c r="I106" s="43">
        <f>IF(AND(E106&lt;&gt;"",F106&lt;&gt;""),IF(F106&gt;E106,3,IF(E106=F106,1,0)),"")</f>
        <v/>
      </c>
      <c r="J106" s="43">
        <f>IF(AND(E106&lt;&gt;"",F106&lt;&gt;""),IF(E106&gt;F106,"W",IF(E106=F106,"D","L")),"")</f>
        <v/>
      </c>
      <c r="K106" s="43">
        <f>IF(AND(E106&lt;&gt;"",F106&lt;&gt;""),IF(F106&gt;E106,"W",IF(E106=F106,"D","L")),"")</f>
        <v/>
      </c>
    </row>
    <row r="107">
      <c r="A107" s="43" t="n">
        <v>103</v>
      </c>
      <c r="B107" s="43" t="inlineStr">
        <is>
          <t>18-Jul</t>
        </is>
      </c>
      <c r="C107" s="43" t="inlineStr">
        <is>
          <t>3rd</t>
        </is>
      </c>
      <c r="D107" s="44" t="inlineStr">
        <is>
          <t>L101</t>
        </is>
      </c>
      <c r="E107" s="43" t="n"/>
      <c r="F107" s="43" t="n"/>
      <c r="G107" s="44" t="inlineStr">
        <is>
          <t>L102</t>
        </is>
      </c>
      <c r="H107" s="43">
        <f>IF(AND(E107&lt;&gt;"",F107&lt;&gt;""),IF(E107&gt;F107,3,IF(E107=F107,1,0)),"")</f>
        <v/>
      </c>
      <c r="I107" s="43">
        <f>IF(AND(E107&lt;&gt;"",F107&lt;&gt;""),IF(F107&gt;E107,3,IF(E107=F107,1,0)),"")</f>
        <v/>
      </c>
      <c r="J107" s="43">
        <f>IF(AND(E107&lt;&gt;"",F107&lt;&gt;""),IF(E107&gt;F107,"W",IF(E107=F107,"D","L")),"")</f>
        <v/>
      </c>
      <c r="K107" s="43">
        <f>IF(AND(E107&lt;&gt;"",F107&lt;&gt;""),IF(F107&gt;E107,"W",IF(E107=F107,"D","L")),"")</f>
        <v/>
      </c>
    </row>
    <row r="108">
      <c r="A108" s="43" t="n">
        <v>104</v>
      </c>
      <c r="B108" s="43" t="inlineStr">
        <is>
          <t>19-Jul</t>
        </is>
      </c>
      <c r="C108" s="43" t="inlineStr">
        <is>
          <t>Final</t>
        </is>
      </c>
      <c r="D108" s="44" t="inlineStr">
        <is>
          <t>W101</t>
        </is>
      </c>
      <c r="E108" s="43" t="n"/>
      <c r="F108" s="43" t="n"/>
      <c r="G108" s="44" t="inlineStr">
        <is>
          <t>W102</t>
        </is>
      </c>
      <c r="H108" s="43">
        <f>IF(AND(E108&lt;&gt;"",F108&lt;&gt;""),IF(E108&gt;F108,3,IF(E108=F108,1,0)),"")</f>
        <v/>
      </c>
      <c r="I108" s="43">
        <f>IF(AND(E108&lt;&gt;"",F108&lt;&gt;""),IF(F108&gt;E108,3,IF(E108=F108,1,0)),"")</f>
        <v/>
      </c>
      <c r="J108" s="43">
        <f>IF(AND(E108&lt;&gt;"",F108&lt;&gt;""),IF(E108&gt;F108,"W",IF(E108=F108,"D","L")),"")</f>
        <v/>
      </c>
      <c r="K108" s="43">
        <f>IF(AND(E108&lt;&gt;"",F108&lt;&gt;""),IF(F108&gt;E108,"W",IF(E108=F108,"D","L")),"")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8" customWidth="1" min="4" max="4"/>
    <col width="6" customWidth="1" min="5" max="5"/>
    <col width="7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</cols>
  <sheetData>
    <row r="1">
      <c r="A1" s="1" t="inlineStr">
        <is>
          <t>Team Points Summary</t>
        </is>
      </c>
    </row>
    <row r="2">
      <c r="A2" s="16" t="inlineStr">
        <is>
          <t>Auto-calculated from Fixtures sheet results.</t>
        </is>
      </c>
    </row>
    <row r="4">
      <c r="A4" s="3" t="inlineStr">
        <is>
          <t>#</t>
        </is>
      </c>
      <c r="B4" s="3" t="inlineStr">
        <is>
          <t>Team</t>
        </is>
      </c>
      <c r="C4" s="3" t="inlineStr">
        <is>
          <t>Group</t>
        </is>
      </c>
      <c r="D4" s="3" t="inlineStr">
        <is>
          <t>Played</t>
        </is>
      </c>
      <c r="E4" s="3" t="inlineStr">
        <is>
          <t>Won</t>
        </is>
      </c>
      <c r="F4" s="3" t="inlineStr">
        <is>
          <t>Drawn</t>
        </is>
      </c>
      <c r="G4" s="3" t="inlineStr">
        <is>
          <t>Lost</t>
        </is>
      </c>
      <c r="H4" s="3" t="inlineStr">
        <is>
          <t>GF</t>
        </is>
      </c>
      <c r="I4" s="3" t="inlineStr">
        <is>
          <t>GA</t>
        </is>
      </c>
      <c r="J4" s="3" t="inlineStr">
        <is>
          <t>GD</t>
        </is>
      </c>
      <c r="K4" s="3" t="inlineStr">
        <is>
          <t>Points</t>
        </is>
      </c>
    </row>
    <row r="5">
      <c r="A5" s="19" t="n">
        <v>1</v>
      </c>
      <c r="B5" s="20" t="inlineStr">
        <is>
          <t>Mexico</t>
        </is>
      </c>
      <c r="C5" s="19" t="inlineStr">
        <is>
          <t>Group A</t>
        </is>
      </c>
      <c r="D5" s="19">
        <f>COUNTIFS(Fixtures!D$5:D$76,B5,Fixtures!E$5:E$76,"&lt;&gt;")+COUNTIFS(Fixtures!G$5:G$76,B5,Fixtures!F$5:F$76,"&lt;&gt;")</f>
        <v/>
      </c>
      <c r="E5" s="19">
        <f>COUNTIFS(Fixtures!D$5:D$76,B5,Fixtures!J$5:J$76,"W")+COUNTIFS(Fixtures!G$5:G$76,B5,Fixtures!K$5:K$76,"W")</f>
        <v/>
      </c>
      <c r="F5" s="19">
        <f>COUNTIFS(Fixtures!D$5:D$76,B5,Fixtures!J$5:J$76,"D")+COUNTIFS(Fixtures!G$5:G$76,B5,Fixtures!K$5:K$76,"D")</f>
        <v/>
      </c>
      <c r="G5" s="19">
        <f>COUNTIFS(Fixtures!D$5:D$76,B5,Fixtures!J$5:J$76,"L")+COUNTIFS(Fixtures!G$5:G$76,B5,Fixtures!K$5:K$76,"L")</f>
        <v/>
      </c>
      <c r="H5" s="19">
        <f>SUMPRODUCT((Fixtures!D$5:D$76=B5)*(Fixtures!E$5:E$76&lt;&gt;"")*Fixtures!E$5:E$76)+SUMPRODUCT((Fixtures!G$5:G$76=B5)*(Fixtures!F$5:F$76&lt;&gt;"")*Fixtures!F$5:F$76)</f>
        <v/>
      </c>
      <c r="I5" s="19">
        <f>SUMPRODUCT((Fixtures!D$5:D$76=B5)*(Fixtures!F$5:F$76&lt;&gt;"")*Fixtures!F$5:F$76)+SUMPRODUCT((Fixtures!G$5:G$76=B5)*(Fixtures!E$5:E$76&lt;&gt;"")*Fixtures!E$5:E$76)</f>
        <v/>
      </c>
      <c r="J5" s="19">
        <f>H5-I5</f>
        <v/>
      </c>
      <c r="K5" s="19">
        <f>SUMPRODUCT((Fixtures!D$5:D$76=B5)*(Fixtures!E$5:E$76&lt;&gt;"")*(Fixtures!F$5:F$76&lt;&gt;"")*((Fixtures!E$5:E$76&gt;Fixtures!F$5:F$76)*3+(Fixtures!E$5:E$76=Fixtures!F$5:F$76)*2))+SUMPRODUCT((Fixtures!G$5:G$76=B5)*(Fixtures!E$5:E$76&lt;&gt;"")*(Fixtures!F$5:F$76&lt;&gt;"")*((Fixtures!F$5:F$76&gt;Fixtures!E$5:E$76)*3+(Fixtures!E$5:E$76=Fixtures!F$5:F$76)*2))</f>
        <v/>
      </c>
    </row>
    <row r="6">
      <c r="A6" s="19" t="n">
        <v>2</v>
      </c>
      <c r="B6" s="20" t="inlineStr">
        <is>
          <t>South Africa</t>
        </is>
      </c>
      <c r="C6" s="19" t="inlineStr">
        <is>
          <t>Group A</t>
        </is>
      </c>
      <c r="D6" s="19">
        <f>COUNTIFS(Fixtures!D$5:D$76,B6,Fixtures!E$5:E$76,"&lt;&gt;")+COUNTIFS(Fixtures!G$5:G$76,B6,Fixtures!F$5:F$76,"&lt;&gt;")</f>
        <v/>
      </c>
      <c r="E6" s="19">
        <f>COUNTIFS(Fixtures!D$5:D$76,B6,Fixtures!J$5:J$76,"W")+COUNTIFS(Fixtures!G$5:G$76,B6,Fixtures!K$5:K$76,"W")</f>
        <v/>
      </c>
      <c r="F6" s="19">
        <f>COUNTIFS(Fixtures!D$5:D$76,B6,Fixtures!J$5:J$76,"D")+COUNTIFS(Fixtures!G$5:G$76,B6,Fixtures!K$5:K$76,"D")</f>
        <v/>
      </c>
      <c r="G6" s="19">
        <f>COUNTIFS(Fixtures!D$5:D$76,B6,Fixtures!J$5:J$76,"L")+COUNTIFS(Fixtures!G$5:G$76,B6,Fixtures!K$5:K$76,"L")</f>
        <v/>
      </c>
      <c r="H6" s="19">
        <f>SUMPRODUCT((Fixtures!D$5:D$76=B6)*(Fixtures!E$5:E$76&lt;&gt;"")*Fixtures!E$5:E$76)+SUMPRODUCT((Fixtures!G$5:G$76=B6)*(Fixtures!F$5:F$76&lt;&gt;"")*Fixtures!F$5:F$76)</f>
        <v/>
      </c>
      <c r="I6" s="19">
        <f>SUMPRODUCT((Fixtures!D$5:D$76=B6)*(Fixtures!F$5:F$76&lt;&gt;"")*Fixtures!F$5:F$76)+SUMPRODUCT((Fixtures!G$5:G$76=B6)*(Fixtures!E$5:E$76&lt;&gt;"")*Fixtures!E$5:E$76)</f>
        <v/>
      </c>
      <c r="J6" s="19">
        <f>H6-I6</f>
        <v/>
      </c>
      <c r="K6" s="19">
        <f>SUMPRODUCT((Fixtures!D$5:D$76=B6)*(Fixtures!E$5:E$76&lt;&gt;"")*(Fixtures!F$5:F$76&lt;&gt;"")*((Fixtures!E$5:E$76&gt;Fixtures!F$5:F$76)*3+(Fixtures!E$5:E$76=Fixtures!F$5:F$76)*2))+SUMPRODUCT((Fixtures!G$5:G$76=B6)*(Fixtures!E$5:E$76&lt;&gt;"")*(Fixtures!F$5:F$76&lt;&gt;"")*((Fixtures!F$5:F$76&gt;Fixtures!E$5:E$76)*3+(Fixtures!E$5:E$76=Fixtures!F$5:F$76)*2))</f>
        <v/>
      </c>
    </row>
    <row r="7">
      <c r="A7" s="19" t="n">
        <v>3</v>
      </c>
      <c r="B7" s="20" t="inlineStr">
        <is>
          <t>South Korea</t>
        </is>
      </c>
      <c r="C7" s="19" t="inlineStr">
        <is>
          <t>Group A</t>
        </is>
      </c>
      <c r="D7" s="19">
        <f>COUNTIFS(Fixtures!D$5:D$76,B7,Fixtures!E$5:E$76,"&lt;&gt;")+COUNTIFS(Fixtures!G$5:G$76,B7,Fixtures!F$5:F$76,"&lt;&gt;")</f>
        <v/>
      </c>
      <c r="E7" s="19">
        <f>COUNTIFS(Fixtures!D$5:D$76,B7,Fixtures!J$5:J$76,"W")+COUNTIFS(Fixtures!G$5:G$76,B7,Fixtures!K$5:K$76,"W")</f>
        <v/>
      </c>
      <c r="F7" s="19">
        <f>COUNTIFS(Fixtures!D$5:D$76,B7,Fixtures!J$5:J$76,"D")+COUNTIFS(Fixtures!G$5:G$76,B7,Fixtures!K$5:K$76,"D")</f>
        <v/>
      </c>
      <c r="G7" s="19">
        <f>COUNTIFS(Fixtures!D$5:D$76,B7,Fixtures!J$5:J$76,"L")+COUNTIFS(Fixtures!G$5:G$76,B7,Fixtures!K$5:K$76,"L")</f>
        <v/>
      </c>
      <c r="H7" s="19">
        <f>SUMPRODUCT((Fixtures!D$5:D$76=B7)*(Fixtures!E$5:E$76&lt;&gt;"")*Fixtures!E$5:E$76)+SUMPRODUCT((Fixtures!G$5:G$76=B7)*(Fixtures!F$5:F$76&lt;&gt;"")*Fixtures!F$5:F$76)</f>
        <v/>
      </c>
      <c r="I7" s="19">
        <f>SUMPRODUCT((Fixtures!D$5:D$76=B7)*(Fixtures!F$5:F$76&lt;&gt;"")*Fixtures!F$5:F$76)+SUMPRODUCT((Fixtures!G$5:G$76=B7)*(Fixtures!E$5:E$76&lt;&gt;"")*Fixtures!E$5:E$76)</f>
        <v/>
      </c>
      <c r="J7" s="19">
        <f>H7-I7</f>
        <v/>
      </c>
      <c r="K7" s="19">
        <f>SUMPRODUCT((Fixtures!D$5:D$76=B7)*(Fixtures!E$5:E$76&lt;&gt;"")*(Fixtures!F$5:F$76&lt;&gt;"")*((Fixtures!E$5:E$76&gt;Fixtures!F$5:F$76)*3+(Fixtures!E$5:E$76=Fixtures!F$5:F$76)*2))+SUMPRODUCT((Fixtures!G$5:G$76=B7)*(Fixtures!E$5:E$76&lt;&gt;"")*(Fixtures!F$5:F$76&lt;&gt;"")*((Fixtures!F$5:F$76&gt;Fixtures!E$5:E$76)*3+(Fixtures!E$5:E$76=Fixtures!F$5:F$76)*2))</f>
        <v/>
      </c>
    </row>
    <row r="8">
      <c r="A8" s="19" t="n">
        <v>4</v>
      </c>
      <c r="B8" s="20" t="inlineStr">
        <is>
          <t>Czechia</t>
        </is>
      </c>
      <c r="C8" s="19" t="inlineStr">
        <is>
          <t>Group A</t>
        </is>
      </c>
      <c r="D8" s="19">
        <f>COUNTIFS(Fixtures!D$5:D$76,B8,Fixtures!E$5:E$76,"&lt;&gt;")+COUNTIFS(Fixtures!G$5:G$76,B8,Fixtures!F$5:F$76,"&lt;&gt;")</f>
        <v/>
      </c>
      <c r="E8" s="19">
        <f>COUNTIFS(Fixtures!D$5:D$76,B8,Fixtures!J$5:J$76,"W")+COUNTIFS(Fixtures!G$5:G$76,B8,Fixtures!K$5:K$76,"W")</f>
        <v/>
      </c>
      <c r="F8" s="19">
        <f>COUNTIFS(Fixtures!D$5:D$76,B8,Fixtures!J$5:J$76,"D")+COUNTIFS(Fixtures!G$5:G$76,B8,Fixtures!K$5:K$76,"D")</f>
        <v/>
      </c>
      <c r="G8" s="19">
        <f>COUNTIFS(Fixtures!D$5:D$76,B8,Fixtures!J$5:J$76,"L")+COUNTIFS(Fixtures!G$5:G$76,B8,Fixtures!K$5:K$76,"L")</f>
        <v/>
      </c>
      <c r="H8" s="19">
        <f>SUMPRODUCT((Fixtures!D$5:D$76=B8)*(Fixtures!E$5:E$76&lt;&gt;"")*Fixtures!E$5:E$76)+SUMPRODUCT((Fixtures!G$5:G$76=B8)*(Fixtures!F$5:F$76&lt;&gt;"")*Fixtures!F$5:F$76)</f>
        <v/>
      </c>
      <c r="I8" s="19">
        <f>SUMPRODUCT((Fixtures!D$5:D$76=B8)*(Fixtures!F$5:F$76&lt;&gt;"")*Fixtures!F$5:F$76)+SUMPRODUCT((Fixtures!G$5:G$76=B8)*(Fixtures!E$5:E$76&lt;&gt;"")*Fixtures!E$5:E$76)</f>
        <v/>
      </c>
      <c r="J8" s="19">
        <f>H8-I8</f>
        <v/>
      </c>
      <c r="K8" s="19">
        <f>SUMPRODUCT((Fixtures!D$5:D$76=B8)*(Fixtures!E$5:E$76&lt;&gt;"")*(Fixtures!F$5:F$76&lt;&gt;"")*((Fixtures!E$5:E$76&gt;Fixtures!F$5:F$76)*3+(Fixtures!E$5:E$76=Fixtures!F$5:F$76)*2))+SUMPRODUCT((Fixtures!G$5:G$76=B8)*(Fixtures!E$5:E$76&lt;&gt;"")*(Fixtures!F$5:F$76&lt;&gt;"")*((Fixtures!F$5:F$76&gt;Fixtures!E$5:E$76)*3+(Fixtures!E$5:E$76=Fixtures!F$5:F$76)*2))</f>
        <v/>
      </c>
    </row>
    <row r="9">
      <c r="A9" s="21" t="n">
        <v>5</v>
      </c>
      <c r="B9" s="22" t="inlineStr">
        <is>
          <t>Canada</t>
        </is>
      </c>
      <c r="C9" s="21" t="inlineStr">
        <is>
          <t>Group B</t>
        </is>
      </c>
      <c r="D9" s="21">
        <f>COUNTIFS(Fixtures!D$5:D$76,B9,Fixtures!E$5:E$76,"&lt;&gt;")+COUNTIFS(Fixtures!G$5:G$76,B9,Fixtures!F$5:F$76,"&lt;&gt;")</f>
        <v/>
      </c>
      <c r="E9" s="21">
        <f>COUNTIFS(Fixtures!D$5:D$76,B9,Fixtures!J$5:J$76,"W")+COUNTIFS(Fixtures!G$5:G$76,B9,Fixtures!K$5:K$76,"W")</f>
        <v/>
      </c>
      <c r="F9" s="21">
        <f>COUNTIFS(Fixtures!D$5:D$76,B9,Fixtures!J$5:J$76,"D")+COUNTIFS(Fixtures!G$5:G$76,B9,Fixtures!K$5:K$76,"D")</f>
        <v/>
      </c>
      <c r="G9" s="21">
        <f>COUNTIFS(Fixtures!D$5:D$76,B9,Fixtures!J$5:J$76,"L")+COUNTIFS(Fixtures!G$5:G$76,B9,Fixtures!K$5:K$76,"L")</f>
        <v/>
      </c>
      <c r="H9" s="21">
        <f>SUMPRODUCT((Fixtures!D$5:D$76=B9)*(Fixtures!E$5:E$76&lt;&gt;"")*Fixtures!E$5:E$76)+SUMPRODUCT((Fixtures!G$5:G$76=B9)*(Fixtures!F$5:F$76&lt;&gt;"")*Fixtures!F$5:F$76)</f>
        <v/>
      </c>
      <c r="I9" s="21">
        <f>SUMPRODUCT((Fixtures!D$5:D$76=B9)*(Fixtures!F$5:F$76&lt;&gt;"")*Fixtures!F$5:F$76)+SUMPRODUCT((Fixtures!G$5:G$76=B9)*(Fixtures!E$5:E$76&lt;&gt;"")*Fixtures!E$5:E$76)</f>
        <v/>
      </c>
      <c r="J9" s="21">
        <f>H9-I9</f>
        <v/>
      </c>
      <c r="K9" s="21">
        <f>SUMPRODUCT((Fixtures!D$5:D$76=B9)*(Fixtures!E$5:E$76&lt;&gt;"")*(Fixtures!F$5:F$76&lt;&gt;"")*((Fixtures!E$5:E$76&gt;Fixtures!F$5:F$76)*3+(Fixtures!E$5:E$76=Fixtures!F$5:F$76)*2))+SUMPRODUCT((Fixtures!G$5:G$76=B9)*(Fixtures!E$5:E$76&lt;&gt;"")*(Fixtures!F$5:F$76&lt;&gt;"")*((Fixtures!F$5:F$76&gt;Fixtures!E$5:E$76)*3+(Fixtures!E$5:E$76=Fixtures!F$5:F$76)*2))</f>
        <v/>
      </c>
    </row>
    <row r="10">
      <c r="A10" s="21" t="n">
        <v>6</v>
      </c>
      <c r="B10" s="22" t="inlineStr">
        <is>
          <t>Bosnia and Herzegovina</t>
        </is>
      </c>
      <c r="C10" s="21" t="inlineStr">
        <is>
          <t>Group B</t>
        </is>
      </c>
      <c r="D10" s="21">
        <f>COUNTIFS(Fixtures!D$5:D$76,B10,Fixtures!E$5:E$76,"&lt;&gt;")+COUNTIFS(Fixtures!G$5:G$76,B10,Fixtures!F$5:F$76,"&lt;&gt;")</f>
        <v/>
      </c>
      <c r="E10" s="21">
        <f>COUNTIFS(Fixtures!D$5:D$76,B10,Fixtures!J$5:J$76,"W")+COUNTIFS(Fixtures!G$5:G$76,B10,Fixtures!K$5:K$76,"W")</f>
        <v/>
      </c>
      <c r="F10" s="21">
        <f>COUNTIFS(Fixtures!D$5:D$76,B10,Fixtures!J$5:J$76,"D")+COUNTIFS(Fixtures!G$5:G$76,B10,Fixtures!K$5:K$76,"D")</f>
        <v/>
      </c>
      <c r="G10" s="21">
        <f>COUNTIFS(Fixtures!D$5:D$76,B10,Fixtures!J$5:J$76,"L")+COUNTIFS(Fixtures!G$5:G$76,B10,Fixtures!K$5:K$76,"L")</f>
        <v/>
      </c>
      <c r="H10" s="21">
        <f>SUMPRODUCT((Fixtures!D$5:D$76=B10)*(Fixtures!E$5:E$76&lt;&gt;"")*Fixtures!E$5:E$76)+SUMPRODUCT((Fixtures!G$5:G$76=B10)*(Fixtures!F$5:F$76&lt;&gt;"")*Fixtures!F$5:F$76)</f>
        <v/>
      </c>
      <c r="I10" s="21">
        <f>SUMPRODUCT((Fixtures!D$5:D$76=B10)*(Fixtures!F$5:F$76&lt;&gt;"")*Fixtures!F$5:F$76)+SUMPRODUCT((Fixtures!G$5:G$76=B10)*(Fixtures!E$5:E$76&lt;&gt;"")*Fixtures!E$5:E$76)</f>
        <v/>
      </c>
      <c r="J10" s="21">
        <f>H10-I10</f>
        <v/>
      </c>
      <c r="K10" s="21">
        <f>SUMPRODUCT((Fixtures!D$5:D$76=B10)*(Fixtures!E$5:E$76&lt;&gt;"")*(Fixtures!F$5:F$76&lt;&gt;"")*((Fixtures!E$5:E$76&gt;Fixtures!F$5:F$76)*3+(Fixtures!E$5:E$76=Fixtures!F$5:F$76)*2))+SUMPRODUCT((Fixtures!G$5:G$76=B10)*(Fixtures!E$5:E$76&lt;&gt;"")*(Fixtures!F$5:F$76&lt;&gt;"")*((Fixtures!F$5:F$76&gt;Fixtures!E$5:E$76)*3+(Fixtures!E$5:E$76=Fixtures!F$5:F$76)*2))</f>
        <v/>
      </c>
    </row>
    <row r="11">
      <c r="A11" s="21" t="n">
        <v>7</v>
      </c>
      <c r="B11" s="22" t="inlineStr">
        <is>
          <t>Qatar</t>
        </is>
      </c>
      <c r="C11" s="21" t="inlineStr">
        <is>
          <t>Group B</t>
        </is>
      </c>
      <c r="D11" s="21">
        <f>COUNTIFS(Fixtures!D$5:D$76,B11,Fixtures!E$5:E$76,"&lt;&gt;")+COUNTIFS(Fixtures!G$5:G$76,B11,Fixtures!F$5:F$76,"&lt;&gt;")</f>
        <v/>
      </c>
      <c r="E11" s="21">
        <f>COUNTIFS(Fixtures!D$5:D$76,B11,Fixtures!J$5:J$76,"W")+COUNTIFS(Fixtures!G$5:G$76,B11,Fixtures!K$5:K$76,"W")</f>
        <v/>
      </c>
      <c r="F11" s="21">
        <f>COUNTIFS(Fixtures!D$5:D$76,B11,Fixtures!J$5:J$76,"D")+COUNTIFS(Fixtures!G$5:G$76,B11,Fixtures!K$5:K$76,"D")</f>
        <v/>
      </c>
      <c r="G11" s="21">
        <f>COUNTIFS(Fixtures!D$5:D$76,B11,Fixtures!J$5:J$76,"L")+COUNTIFS(Fixtures!G$5:G$76,B11,Fixtures!K$5:K$76,"L")</f>
        <v/>
      </c>
      <c r="H11" s="21">
        <f>SUMPRODUCT((Fixtures!D$5:D$76=B11)*(Fixtures!E$5:E$76&lt;&gt;"")*Fixtures!E$5:E$76)+SUMPRODUCT((Fixtures!G$5:G$76=B11)*(Fixtures!F$5:F$76&lt;&gt;"")*Fixtures!F$5:F$76)</f>
        <v/>
      </c>
      <c r="I11" s="21">
        <f>SUMPRODUCT((Fixtures!D$5:D$76=B11)*(Fixtures!F$5:F$76&lt;&gt;"")*Fixtures!F$5:F$76)+SUMPRODUCT((Fixtures!G$5:G$76=B11)*(Fixtures!E$5:E$76&lt;&gt;"")*Fixtures!E$5:E$76)</f>
        <v/>
      </c>
      <c r="J11" s="21">
        <f>H11-I11</f>
        <v/>
      </c>
      <c r="K11" s="21">
        <f>SUMPRODUCT((Fixtures!D$5:D$76=B11)*(Fixtures!E$5:E$76&lt;&gt;"")*(Fixtures!F$5:F$76&lt;&gt;"")*((Fixtures!E$5:E$76&gt;Fixtures!F$5:F$76)*3+(Fixtures!E$5:E$76=Fixtures!F$5:F$76)*2))+SUMPRODUCT((Fixtures!G$5:G$76=B11)*(Fixtures!E$5:E$76&lt;&gt;"")*(Fixtures!F$5:F$76&lt;&gt;"")*((Fixtures!F$5:F$76&gt;Fixtures!E$5:E$76)*3+(Fixtures!E$5:E$76=Fixtures!F$5:F$76)*2))</f>
        <v/>
      </c>
    </row>
    <row r="12">
      <c r="A12" s="21" t="n">
        <v>8</v>
      </c>
      <c r="B12" s="22" t="inlineStr">
        <is>
          <t>Switzerland</t>
        </is>
      </c>
      <c r="C12" s="21" t="inlineStr">
        <is>
          <t>Group B</t>
        </is>
      </c>
      <c r="D12" s="21">
        <f>COUNTIFS(Fixtures!D$5:D$76,B12,Fixtures!E$5:E$76,"&lt;&gt;")+COUNTIFS(Fixtures!G$5:G$76,B12,Fixtures!F$5:F$76,"&lt;&gt;")</f>
        <v/>
      </c>
      <c r="E12" s="21">
        <f>COUNTIFS(Fixtures!D$5:D$76,B12,Fixtures!J$5:J$76,"W")+COUNTIFS(Fixtures!G$5:G$76,B12,Fixtures!K$5:K$76,"W")</f>
        <v/>
      </c>
      <c r="F12" s="21">
        <f>COUNTIFS(Fixtures!D$5:D$76,B12,Fixtures!J$5:J$76,"D")+COUNTIFS(Fixtures!G$5:G$76,B12,Fixtures!K$5:K$76,"D")</f>
        <v/>
      </c>
      <c r="G12" s="21">
        <f>COUNTIFS(Fixtures!D$5:D$76,B12,Fixtures!J$5:J$76,"L")+COUNTIFS(Fixtures!G$5:G$76,B12,Fixtures!K$5:K$76,"L")</f>
        <v/>
      </c>
      <c r="H12" s="21">
        <f>SUMPRODUCT((Fixtures!D$5:D$76=B12)*(Fixtures!E$5:E$76&lt;&gt;"")*Fixtures!E$5:E$76)+SUMPRODUCT((Fixtures!G$5:G$76=B12)*(Fixtures!F$5:F$76&lt;&gt;"")*Fixtures!F$5:F$76)</f>
        <v/>
      </c>
      <c r="I12" s="21">
        <f>SUMPRODUCT((Fixtures!D$5:D$76=B12)*(Fixtures!F$5:F$76&lt;&gt;"")*Fixtures!F$5:F$76)+SUMPRODUCT((Fixtures!G$5:G$76=B12)*(Fixtures!E$5:E$76&lt;&gt;"")*Fixtures!E$5:E$76)</f>
        <v/>
      </c>
      <c r="J12" s="21">
        <f>H12-I12</f>
        <v/>
      </c>
      <c r="K12" s="21">
        <f>SUMPRODUCT((Fixtures!D$5:D$76=B12)*(Fixtures!E$5:E$76&lt;&gt;"")*(Fixtures!F$5:F$76&lt;&gt;"")*((Fixtures!E$5:E$76&gt;Fixtures!F$5:F$76)*3+(Fixtures!E$5:E$76=Fixtures!F$5:F$76)*2))+SUMPRODUCT((Fixtures!G$5:G$76=B12)*(Fixtures!E$5:E$76&lt;&gt;"")*(Fixtures!F$5:F$76&lt;&gt;"")*((Fixtures!F$5:F$76&gt;Fixtures!E$5:E$76)*3+(Fixtures!E$5:E$76=Fixtures!F$5:F$76)*2))</f>
        <v/>
      </c>
    </row>
    <row r="13">
      <c r="A13" s="25" t="n">
        <v>9</v>
      </c>
      <c r="B13" s="26" t="inlineStr">
        <is>
          <t>Brazil</t>
        </is>
      </c>
      <c r="C13" s="25" t="inlineStr">
        <is>
          <t>Group C</t>
        </is>
      </c>
      <c r="D13" s="25">
        <f>COUNTIFS(Fixtures!D$5:D$76,B13,Fixtures!E$5:E$76,"&lt;&gt;")+COUNTIFS(Fixtures!G$5:G$76,B13,Fixtures!F$5:F$76,"&lt;&gt;")</f>
        <v/>
      </c>
      <c r="E13" s="25">
        <f>COUNTIFS(Fixtures!D$5:D$76,B13,Fixtures!J$5:J$76,"W")+COUNTIFS(Fixtures!G$5:G$76,B13,Fixtures!K$5:K$76,"W")</f>
        <v/>
      </c>
      <c r="F13" s="25">
        <f>COUNTIFS(Fixtures!D$5:D$76,B13,Fixtures!J$5:J$76,"D")+COUNTIFS(Fixtures!G$5:G$76,B13,Fixtures!K$5:K$76,"D")</f>
        <v/>
      </c>
      <c r="G13" s="25">
        <f>COUNTIFS(Fixtures!D$5:D$76,B13,Fixtures!J$5:J$76,"L")+COUNTIFS(Fixtures!G$5:G$76,B13,Fixtures!K$5:K$76,"L")</f>
        <v/>
      </c>
      <c r="H13" s="25">
        <f>SUMPRODUCT((Fixtures!D$5:D$76=B13)*(Fixtures!E$5:E$76&lt;&gt;"")*Fixtures!E$5:E$76)+SUMPRODUCT((Fixtures!G$5:G$76=B13)*(Fixtures!F$5:F$76&lt;&gt;"")*Fixtures!F$5:F$76)</f>
        <v/>
      </c>
      <c r="I13" s="25">
        <f>SUMPRODUCT((Fixtures!D$5:D$76=B13)*(Fixtures!F$5:F$76&lt;&gt;"")*Fixtures!F$5:F$76)+SUMPRODUCT((Fixtures!G$5:G$76=B13)*(Fixtures!E$5:E$76&lt;&gt;"")*Fixtures!E$5:E$76)</f>
        <v/>
      </c>
      <c r="J13" s="25">
        <f>H13-I13</f>
        <v/>
      </c>
      <c r="K13" s="25">
        <f>SUMPRODUCT((Fixtures!D$5:D$76=B13)*(Fixtures!E$5:E$76&lt;&gt;"")*(Fixtures!F$5:F$76&lt;&gt;"")*((Fixtures!E$5:E$76&gt;Fixtures!F$5:F$76)*3+(Fixtures!E$5:E$76=Fixtures!F$5:F$76)*2))+SUMPRODUCT((Fixtures!G$5:G$76=B13)*(Fixtures!E$5:E$76&lt;&gt;"")*(Fixtures!F$5:F$76&lt;&gt;"")*((Fixtures!F$5:F$76&gt;Fixtures!E$5:E$76)*3+(Fixtures!E$5:E$76=Fixtures!F$5:F$76)*2))</f>
        <v/>
      </c>
    </row>
    <row r="14">
      <c r="A14" s="25" t="n">
        <v>10</v>
      </c>
      <c r="B14" s="26" t="inlineStr">
        <is>
          <t>Morocco</t>
        </is>
      </c>
      <c r="C14" s="25" t="inlineStr">
        <is>
          <t>Group C</t>
        </is>
      </c>
      <c r="D14" s="25">
        <f>COUNTIFS(Fixtures!D$5:D$76,B14,Fixtures!E$5:E$76,"&lt;&gt;")+COUNTIFS(Fixtures!G$5:G$76,B14,Fixtures!F$5:F$76,"&lt;&gt;")</f>
        <v/>
      </c>
      <c r="E14" s="25">
        <f>COUNTIFS(Fixtures!D$5:D$76,B14,Fixtures!J$5:J$76,"W")+COUNTIFS(Fixtures!G$5:G$76,B14,Fixtures!K$5:K$76,"W")</f>
        <v/>
      </c>
      <c r="F14" s="25">
        <f>COUNTIFS(Fixtures!D$5:D$76,B14,Fixtures!J$5:J$76,"D")+COUNTIFS(Fixtures!G$5:G$76,B14,Fixtures!K$5:K$76,"D")</f>
        <v/>
      </c>
      <c r="G14" s="25">
        <f>COUNTIFS(Fixtures!D$5:D$76,B14,Fixtures!J$5:J$76,"L")+COUNTIFS(Fixtures!G$5:G$76,B14,Fixtures!K$5:K$76,"L")</f>
        <v/>
      </c>
      <c r="H14" s="25">
        <f>SUMPRODUCT((Fixtures!D$5:D$76=B14)*(Fixtures!E$5:E$76&lt;&gt;"")*Fixtures!E$5:E$76)+SUMPRODUCT((Fixtures!G$5:G$76=B14)*(Fixtures!F$5:F$76&lt;&gt;"")*Fixtures!F$5:F$76)</f>
        <v/>
      </c>
      <c r="I14" s="25">
        <f>SUMPRODUCT((Fixtures!D$5:D$76=B14)*(Fixtures!F$5:F$76&lt;&gt;"")*Fixtures!F$5:F$76)+SUMPRODUCT((Fixtures!G$5:G$76=B14)*(Fixtures!E$5:E$76&lt;&gt;"")*Fixtures!E$5:E$76)</f>
        <v/>
      </c>
      <c r="J14" s="25">
        <f>H14-I14</f>
        <v/>
      </c>
      <c r="K14" s="25">
        <f>SUMPRODUCT((Fixtures!D$5:D$76=B14)*(Fixtures!E$5:E$76&lt;&gt;"")*(Fixtures!F$5:F$76&lt;&gt;"")*((Fixtures!E$5:E$76&gt;Fixtures!F$5:F$76)*3+(Fixtures!E$5:E$76=Fixtures!F$5:F$76)*2))+SUMPRODUCT((Fixtures!G$5:G$76=B14)*(Fixtures!E$5:E$76&lt;&gt;"")*(Fixtures!F$5:F$76&lt;&gt;"")*((Fixtures!F$5:F$76&gt;Fixtures!E$5:E$76)*3+(Fixtures!E$5:E$76=Fixtures!F$5:F$76)*2))</f>
        <v/>
      </c>
    </row>
    <row r="15">
      <c r="A15" s="25" t="n">
        <v>11</v>
      </c>
      <c r="B15" s="26" t="inlineStr">
        <is>
          <t>Haiti</t>
        </is>
      </c>
      <c r="C15" s="25" t="inlineStr">
        <is>
          <t>Group C</t>
        </is>
      </c>
      <c r="D15" s="25">
        <f>COUNTIFS(Fixtures!D$5:D$76,B15,Fixtures!E$5:E$76,"&lt;&gt;")+COUNTIFS(Fixtures!G$5:G$76,B15,Fixtures!F$5:F$76,"&lt;&gt;")</f>
        <v/>
      </c>
      <c r="E15" s="25">
        <f>COUNTIFS(Fixtures!D$5:D$76,B15,Fixtures!J$5:J$76,"W")+COUNTIFS(Fixtures!G$5:G$76,B15,Fixtures!K$5:K$76,"W")</f>
        <v/>
      </c>
      <c r="F15" s="25">
        <f>COUNTIFS(Fixtures!D$5:D$76,B15,Fixtures!J$5:J$76,"D")+COUNTIFS(Fixtures!G$5:G$76,B15,Fixtures!K$5:K$76,"D")</f>
        <v/>
      </c>
      <c r="G15" s="25">
        <f>COUNTIFS(Fixtures!D$5:D$76,B15,Fixtures!J$5:J$76,"L")+COUNTIFS(Fixtures!G$5:G$76,B15,Fixtures!K$5:K$76,"L")</f>
        <v/>
      </c>
      <c r="H15" s="25">
        <f>SUMPRODUCT((Fixtures!D$5:D$76=B15)*(Fixtures!E$5:E$76&lt;&gt;"")*Fixtures!E$5:E$76)+SUMPRODUCT((Fixtures!G$5:G$76=B15)*(Fixtures!F$5:F$76&lt;&gt;"")*Fixtures!F$5:F$76)</f>
        <v/>
      </c>
      <c r="I15" s="25">
        <f>SUMPRODUCT((Fixtures!D$5:D$76=B15)*(Fixtures!F$5:F$76&lt;&gt;"")*Fixtures!F$5:F$76)+SUMPRODUCT((Fixtures!G$5:G$76=B15)*(Fixtures!E$5:E$76&lt;&gt;"")*Fixtures!E$5:E$76)</f>
        <v/>
      </c>
      <c r="J15" s="25">
        <f>H15-I15</f>
        <v/>
      </c>
      <c r="K15" s="25">
        <f>SUMPRODUCT((Fixtures!D$5:D$76=B15)*(Fixtures!E$5:E$76&lt;&gt;"")*(Fixtures!F$5:F$76&lt;&gt;"")*((Fixtures!E$5:E$76&gt;Fixtures!F$5:F$76)*3+(Fixtures!E$5:E$76=Fixtures!F$5:F$76)*2))+SUMPRODUCT((Fixtures!G$5:G$76=B15)*(Fixtures!E$5:E$76&lt;&gt;"")*(Fixtures!F$5:F$76&lt;&gt;"")*((Fixtures!F$5:F$76&gt;Fixtures!E$5:E$76)*3+(Fixtures!E$5:E$76=Fixtures!F$5:F$76)*2))</f>
        <v/>
      </c>
    </row>
    <row r="16">
      <c r="A16" s="25" t="n">
        <v>12</v>
      </c>
      <c r="B16" s="26" t="inlineStr">
        <is>
          <t>Scotland</t>
        </is>
      </c>
      <c r="C16" s="25" t="inlineStr">
        <is>
          <t>Group C</t>
        </is>
      </c>
      <c r="D16" s="25">
        <f>COUNTIFS(Fixtures!D$5:D$76,B16,Fixtures!E$5:E$76,"&lt;&gt;")+COUNTIFS(Fixtures!G$5:G$76,B16,Fixtures!F$5:F$76,"&lt;&gt;")</f>
        <v/>
      </c>
      <c r="E16" s="25">
        <f>COUNTIFS(Fixtures!D$5:D$76,B16,Fixtures!J$5:J$76,"W")+COUNTIFS(Fixtures!G$5:G$76,B16,Fixtures!K$5:K$76,"W")</f>
        <v/>
      </c>
      <c r="F16" s="25">
        <f>COUNTIFS(Fixtures!D$5:D$76,B16,Fixtures!J$5:J$76,"D")+COUNTIFS(Fixtures!G$5:G$76,B16,Fixtures!K$5:K$76,"D")</f>
        <v/>
      </c>
      <c r="G16" s="25">
        <f>COUNTIFS(Fixtures!D$5:D$76,B16,Fixtures!J$5:J$76,"L")+COUNTIFS(Fixtures!G$5:G$76,B16,Fixtures!K$5:K$76,"L")</f>
        <v/>
      </c>
      <c r="H16" s="25">
        <f>SUMPRODUCT((Fixtures!D$5:D$76=B16)*(Fixtures!E$5:E$76&lt;&gt;"")*Fixtures!E$5:E$76)+SUMPRODUCT((Fixtures!G$5:G$76=B16)*(Fixtures!F$5:F$76&lt;&gt;"")*Fixtures!F$5:F$76)</f>
        <v/>
      </c>
      <c r="I16" s="25">
        <f>SUMPRODUCT((Fixtures!D$5:D$76=B16)*(Fixtures!F$5:F$76&lt;&gt;"")*Fixtures!F$5:F$76)+SUMPRODUCT((Fixtures!G$5:G$76=B16)*(Fixtures!E$5:E$76&lt;&gt;"")*Fixtures!E$5:E$76)</f>
        <v/>
      </c>
      <c r="J16" s="25">
        <f>H16-I16</f>
        <v/>
      </c>
      <c r="K16" s="25">
        <f>SUMPRODUCT((Fixtures!D$5:D$76=B16)*(Fixtures!E$5:E$76&lt;&gt;"")*(Fixtures!F$5:F$76&lt;&gt;"")*((Fixtures!E$5:E$76&gt;Fixtures!F$5:F$76)*3+(Fixtures!E$5:E$76=Fixtures!F$5:F$76)*2))+SUMPRODUCT((Fixtures!G$5:G$76=B16)*(Fixtures!E$5:E$76&lt;&gt;"")*(Fixtures!F$5:F$76&lt;&gt;"")*((Fixtures!F$5:F$76&gt;Fixtures!E$5:E$76)*3+(Fixtures!E$5:E$76=Fixtures!F$5:F$76)*2))</f>
        <v/>
      </c>
    </row>
    <row r="17">
      <c r="A17" s="23" t="n">
        <v>13</v>
      </c>
      <c r="B17" s="24" t="inlineStr">
        <is>
          <t>United States</t>
        </is>
      </c>
      <c r="C17" s="23" t="inlineStr">
        <is>
          <t>Group D</t>
        </is>
      </c>
      <c r="D17" s="23">
        <f>COUNTIFS(Fixtures!D$5:D$76,B17,Fixtures!E$5:E$76,"&lt;&gt;")+COUNTIFS(Fixtures!G$5:G$76,B17,Fixtures!F$5:F$76,"&lt;&gt;")</f>
        <v/>
      </c>
      <c r="E17" s="23">
        <f>COUNTIFS(Fixtures!D$5:D$76,B17,Fixtures!J$5:J$76,"W")+COUNTIFS(Fixtures!G$5:G$76,B17,Fixtures!K$5:K$76,"W")</f>
        <v/>
      </c>
      <c r="F17" s="23">
        <f>COUNTIFS(Fixtures!D$5:D$76,B17,Fixtures!J$5:J$76,"D")+COUNTIFS(Fixtures!G$5:G$76,B17,Fixtures!K$5:K$76,"D")</f>
        <v/>
      </c>
      <c r="G17" s="23">
        <f>COUNTIFS(Fixtures!D$5:D$76,B17,Fixtures!J$5:J$76,"L")+COUNTIFS(Fixtures!G$5:G$76,B17,Fixtures!K$5:K$76,"L")</f>
        <v/>
      </c>
      <c r="H17" s="23">
        <f>SUMPRODUCT((Fixtures!D$5:D$76=B17)*(Fixtures!E$5:E$76&lt;&gt;"")*Fixtures!E$5:E$76)+SUMPRODUCT((Fixtures!G$5:G$76=B17)*(Fixtures!F$5:F$76&lt;&gt;"")*Fixtures!F$5:F$76)</f>
        <v/>
      </c>
      <c r="I17" s="23">
        <f>SUMPRODUCT((Fixtures!D$5:D$76=B17)*(Fixtures!F$5:F$76&lt;&gt;"")*Fixtures!F$5:F$76)+SUMPRODUCT((Fixtures!G$5:G$76=B17)*(Fixtures!E$5:E$76&lt;&gt;"")*Fixtures!E$5:E$76)</f>
        <v/>
      </c>
      <c r="J17" s="23">
        <f>H17-I17</f>
        <v/>
      </c>
      <c r="K17" s="23">
        <f>SUMPRODUCT((Fixtures!D$5:D$76=B17)*(Fixtures!E$5:E$76&lt;&gt;"")*(Fixtures!F$5:F$76&lt;&gt;"")*((Fixtures!E$5:E$76&gt;Fixtures!F$5:F$76)*3+(Fixtures!E$5:E$76=Fixtures!F$5:F$76)*2))+SUMPRODUCT((Fixtures!G$5:G$76=B17)*(Fixtures!E$5:E$76&lt;&gt;"")*(Fixtures!F$5:F$76&lt;&gt;"")*((Fixtures!F$5:F$76&gt;Fixtures!E$5:E$76)*3+(Fixtures!E$5:E$76=Fixtures!F$5:F$76)*2))</f>
        <v/>
      </c>
    </row>
    <row r="18">
      <c r="A18" s="23" t="n">
        <v>14</v>
      </c>
      <c r="B18" s="24" t="inlineStr">
        <is>
          <t>Paraguay</t>
        </is>
      </c>
      <c r="C18" s="23" t="inlineStr">
        <is>
          <t>Group D</t>
        </is>
      </c>
      <c r="D18" s="23">
        <f>COUNTIFS(Fixtures!D$5:D$76,B18,Fixtures!E$5:E$76,"&lt;&gt;")+COUNTIFS(Fixtures!G$5:G$76,B18,Fixtures!F$5:F$76,"&lt;&gt;")</f>
        <v/>
      </c>
      <c r="E18" s="23">
        <f>COUNTIFS(Fixtures!D$5:D$76,B18,Fixtures!J$5:J$76,"W")+COUNTIFS(Fixtures!G$5:G$76,B18,Fixtures!K$5:K$76,"W")</f>
        <v/>
      </c>
      <c r="F18" s="23">
        <f>COUNTIFS(Fixtures!D$5:D$76,B18,Fixtures!J$5:J$76,"D")+COUNTIFS(Fixtures!G$5:G$76,B18,Fixtures!K$5:K$76,"D")</f>
        <v/>
      </c>
      <c r="G18" s="23">
        <f>COUNTIFS(Fixtures!D$5:D$76,B18,Fixtures!J$5:J$76,"L")+COUNTIFS(Fixtures!G$5:G$76,B18,Fixtures!K$5:K$76,"L")</f>
        <v/>
      </c>
      <c r="H18" s="23">
        <f>SUMPRODUCT((Fixtures!D$5:D$76=B18)*(Fixtures!E$5:E$76&lt;&gt;"")*Fixtures!E$5:E$76)+SUMPRODUCT((Fixtures!G$5:G$76=B18)*(Fixtures!F$5:F$76&lt;&gt;"")*Fixtures!F$5:F$76)</f>
        <v/>
      </c>
      <c r="I18" s="23">
        <f>SUMPRODUCT((Fixtures!D$5:D$76=B18)*(Fixtures!F$5:F$76&lt;&gt;"")*Fixtures!F$5:F$76)+SUMPRODUCT((Fixtures!G$5:G$76=B18)*(Fixtures!E$5:E$76&lt;&gt;"")*Fixtures!E$5:E$76)</f>
        <v/>
      </c>
      <c r="J18" s="23">
        <f>H18-I18</f>
        <v/>
      </c>
      <c r="K18" s="23">
        <f>SUMPRODUCT((Fixtures!D$5:D$76=B18)*(Fixtures!E$5:E$76&lt;&gt;"")*(Fixtures!F$5:F$76&lt;&gt;"")*((Fixtures!E$5:E$76&gt;Fixtures!F$5:F$76)*3+(Fixtures!E$5:E$76=Fixtures!F$5:F$76)*2))+SUMPRODUCT((Fixtures!G$5:G$76=B18)*(Fixtures!E$5:E$76&lt;&gt;"")*(Fixtures!F$5:F$76&lt;&gt;"")*((Fixtures!F$5:F$76&gt;Fixtures!E$5:E$76)*3+(Fixtures!E$5:E$76=Fixtures!F$5:F$76)*2))</f>
        <v/>
      </c>
    </row>
    <row r="19">
      <c r="A19" s="23" t="n">
        <v>15</v>
      </c>
      <c r="B19" s="24" t="inlineStr">
        <is>
          <t>Australia</t>
        </is>
      </c>
      <c r="C19" s="23" t="inlineStr">
        <is>
          <t>Group D</t>
        </is>
      </c>
      <c r="D19" s="23">
        <f>COUNTIFS(Fixtures!D$5:D$76,B19,Fixtures!E$5:E$76,"&lt;&gt;")+COUNTIFS(Fixtures!G$5:G$76,B19,Fixtures!F$5:F$76,"&lt;&gt;")</f>
        <v/>
      </c>
      <c r="E19" s="23">
        <f>COUNTIFS(Fixtures!D$5:D$76,B19,Fixtures!J$5:J$76,"W")+COUNTIFS(Fixtures!G$5:G$76,B19,Fixtures!K$5:K$76,"W")</f>
        <v/>
      </c>
      <c r="F19" s="23">
        <f>COUNTIFS(Fixtures!D$5:D$76,B19,Fixtures!J$5:J$76,"D")+COUNTIFS(Fixtures!G$5:G$76,B19,Fixtures!K$5:K$76,"D")</f>
        <v/>
      </c>
      <c r="G19" s="23">
        <f>COUNTIFS(Fixtures!D$5:D$76,B19,Fixtures!J$5:J$76,"L")+COUNTIFS(Fixtures!G$5:G$76,B19,Fixtures!K$5:K$76,"L")</f>
        <v/>
      </c>
      <c r="H19" s="23">
        <f>SUMPRODUCT((Fixtures!D$5:D$76=B19)*(Fixtures!E$5:E$76&lt;&gt;"")*Fixtures!E$5:E$76)+SUMPRODUCT((Fixtures!G$5:G$76=B19)*(Fixtures!F$5:F$76&lt;&gt;"")*Fixtures!F$5:F$76)</f>
        <v/>
      </c>
      <c r="I19" s="23">
        <f>SUMPRODUCT((Fixtures!D$5:D$76=B19)*(Fixtures!F$5:F$76&lt;&gt;"")*Fixtures!F$5:F$76)+SUMPRODUCT((Fixtures!G$5:G$76=B19)*(Fixtures!E$5:E$76&lt;&gt;"")*Fixtures!E$5:E$76)</f>
        <v/>
      </c>
      <c r="J19" s="23">
        <f>H19-I19</f>
        <v/>
      </c>
      <c r="K19" s="23">
        <f>SUMPRODUCT((Fixtures!D$5:D$76=B19)*(Fixtures!E$5:E$76&lt;&gt;"")*(Fixtures!F$5:F$76&lt;&gt;"")*((Fixtures!E$5:E$76&gt;Fixtures!F$5:F$76)*3+(Fixtures!E$5:E$76=Fixtures!F$5:F$76)*2))+SUMPRODUCT((Fixtures!G$5:G$76=B19)*(Fixtures!E$5:E$76&lt;&gt;"")*(Fixtures!F$5:F$76&lt;&gt;"")*((Fixtures!F$5:F$76&gt;Fixtures!E$5:E$76)*3+(Fixtures!E$5:E$76=Fixtures!F$5:F$76)*2))</f>
        <v/>
      </c>
    </row>
    <row r="20">
      <c r="A20" s="23" t="n">
        <v>16</v>
      </c>
      <c r="B20" s="24" t="inlineStr">
        <is>
          <t>Türkiye</t>
        </is>
      </c>
      <c r="C20" s="23" t="inlineStr">
        <is>
          <t>Group D</t>
        </is>
      </c>
      <c r="D20" s="23">
        <f>COUNTIFS(Fixtures!D$5:D$76,B20,Fixtures!E$5:E$76,"&lt;&gt;")+COUNTIFS(Fixtures!G$5:G$76,B20,Fixtures!F$5:F$76,"&lt;&gt;")</f>
        <v/>
      </c>
      <c r="E20" s="23">
        <f>COUNTIFS(Fixtures!D$5:D$76,B20,Fixtures!J$5:J$76,"W")+COUNTIFS(Fixtures!G$5:G$76,B20,Fixtures!K$5:K$76,"W")</f>
        <v/>
      </c>
      <c r="F20" s="23">
        <f>COUNTIFS(Fixtures!D$5:D$76,B20,Fixtures!J$5:J$76,"D")+COUNTIFS(Fixtures!G$5:G$76,B20,Fixtures!K$5:K$76,"D")</f>
        <v/>
      </c>
      <c r="G20" s="23">
        <f>COUNTIFS(Fixtures!D$5:D$76,B20,Fixtures!J$5:J$76,"L")+COUNTIFS(Fixtures!G$5:G$76,B20,Fixtures!K$5:K$76,"L")</f>
        <v/>
      </c>
      <c r="H20" s="23">
        <f>SUMPRODUCT((Fixtures!D$5:D$76=B20)*(Fixtures!E$5:E$76&lt;&gt;"")*Fixtures!E$5:E$76)+SUMPRODUCT((Fixtures!G$5:G$76=B20)*(Fixtures!F$5:F$76&lt;&gt;"")*Fixtures!F$5:F$76)</f>
        <v/>
      </c>
      <c r="I20" s="23">
        <f>SUMPRODUCT((Fixtures!D$5:D$76=B20)*(Fixtures!F$5:F$76&lt;&gt;"")*Fixtures!F$5:F$76)+SUMPRODUCT((Fixtures!G$5:G$76=B20)*(Fixtures!E$5:E$76&lt;&gt;"")*Fixtures!E$5:E$76)</f>
        <v/>
      </c>
      <c r="J20" s="23">
        <f>H20-I20</f>
        <v/>
      </c>
      <c r="K20" s="23">
        <f>SUMPRODUCT((Fixtures!D$5:D$76=B20)*(Fixtures!E$5:E$76&lt;&gt;"")*(Fixtures!F$5:F$76&lt;&gt;"")*((Fixtures!E$5:E$76&gt;Fixtures!F$5:F$76)*3+(Fixtures!E$5:E$76=Fixtures!F$5:F$76)*2))+SUMPRODUCT((Fixtures!G$5:G$76=B20)*(Fixtures!E$5:E$76&lt;&gt;"")*(Fixtures!F$5:F$76&lt;&gt;"")*((Fixtures!F$5:F$76&gt;Fixtures!E$5:E$76)*3+(Fixtures!E$5:E$76=Fixtures!F$5:F$76)*2))</f>
        <v/>
      </c>
    </row>
    <row r="21">
      <c r="A21" s="27" t="n">
        <v>17</v>
      </c>
      <c r="B21" s="28" t="inlineStr">
        <is>
          <t>Germany</t>
        </is>
      </c>
      <c r="C21" s="27" t="inlineStr">
        <is>
          <t>Group E</t>
        </is>
      </c>
      <c r="D21" s="27">
        <f>COUNTIFS(Fixtures!D$5:D$76,B21,Fixtures!E$5:E$76,"&lt;&gt;")+COUNTIFS(Fixtures!G$5:G$76,B21,Fixtures!F$5:F$76,"&lt;&gt;")</f>
        <v/>
      </c>
      <c r="E21" s="27">
        <f>COUNTIFS(Fixtures!D$5:D$76,B21,Fixtures!J$5:J$76,"W")+COUNTIFS(Fixtures!G$5:G$76,B21,Fixtures!K$5:K$76,"W")</f>
        <v/>
      </c>
      <c r="F21" s="27">
        <f>COUNTIFS(Fixtures!D$5:D$76,B21,Fixtures!J$5:J$76,"D")+COUNTIFS(Fixtures!G$5:G$76,B21,Fixtures!K$5:K$76,"D")</f>
        <v/>
      </c>
      <c r="G21" s="27">
        <f>COUNTIFS(Fixtures!D$5:D$76,B21,Fixtures!J$5:J$76,"L")+COUNTIFS(Fixtures!G$5:G$76,B21,Fixtures!K$5:K$76,"L")</f>
        <v/>
      </c>
      <c r="H21" s="27">
        <f>SUMPRODUCT((Fixtures!D$5:D$76=B21)*(Fixtures!E$5:E$76&lt;&gt;"")*Fixtures!E$5:E$76)+SUMPRODUCT((Fixtures!G$5:G$76=B21)*(Fixtures!F$5:F$76&lt;&gt;"")*Fixtures!F$5:F$76)</f>
        <v/>
      </c>
      <c r="I21" s="27">
        <f>SUMPRODUCT((Fixtures!D$5:D$76=B21)*(Fixtures!F$5:F$76&lt;&gt;"")*Fixtures!F$5:F$76)+SUMPRODUCT((Fixtures!G$5:G$76=B21)*(Fixtures!E$5:E$76&lt;&gt;"")*Fixtures!E$5:E$76)</f>
        <v/>
      </c>
      <c r="J21" s="27">
        <f>H21-I21</f>
        <v/>
      </c>
      <c r="K21" s="27">
        <f>SUMPRODUCT((Fixtures!D$5:D$76=B21)*(Fixtures!E$5:E$76&lt;&gt;"")*(Fixtures!F$5:F$76&lt;&gt;"")*((Fixtures!E$5:E$76&gt;Fixtures!F$5:F$76)*3+(Fixtures!E$5:E$76=Fixtures!F$5:F$76)*2))+SUMPRODUCT((Fixtures!G$5:G$76=B21)*(Fixtures!E$5:E$76&lt;&gt;"")*(Fixtures!F$5:F$76&lt;&gt;"")*((Fixtures!F$5:F$76&gt;Fixtures!E$5:E$76)*3+(Fixtures!E$5:E$76=Fixtures!F$5:F$76)*2))</f>
        <v/>
      </c>
    </row>
    <row r="22">
      <c r="A22" s="27" t="n">
        <v>18</v>
      </c>
      <c r="B22" s="28" t="inlineStr">
        <is>
          <t>Curaçao</t>
        </is>
      </c>
      <c r="C22" s="27" t="inlineStr">
        <is>
          <t>Group E</t>
        </is>
      </c>
      <c r="D22" s="27">
        <f>COUNTIFS(Fixtures!D$5:D$76,B22,Fixtures!E$5:E$76,"&lt;&gt;")+COUNTIFS(Fixtures!G$5:G$76,B22,Fixtures!F$5:F$76,"&lt;&gt;")</f>
        <v/>
      </c>
      <c r="E22" s="27">
        <f>COUNTIFS(Fixtures!D$5:D$76,B22,Fixtures!J$5:J$76,"W")+COUNTIFS(Fixtures!G$5:G$76,B22,Fixtures!K$5:K$76,"W")</f>
        <v/>
      </c>
      <c r="F22" s="27">
        <f>COUNTIFS(Fixtures!D$5:D$76,B22,Fixtures!J$5:J$76,"D")+COUNTIFS(Fixtures!G$5:G$76,B22,Fixtures!K$5:K$76,"D")</f>
        <v/>
      </c>
      <c r="G22" s="27">
        <f>COUNTIFS(Fixtures!D$5:D$76,B22,Fixtures!J$5:J$76,"L")+COUNTIFS(Fixtures!G$5:G$76,B22,Fixtures!K$5:K$76,"L")</f>
        <v/>
      </c>
      <c r="H22" s="27">
        <f>SUMPRODUCT((Fixtures!D$5:D$76=B22)*(Fixtures!E$5:E$76&lt;&gt;"")*Fixtures!E$5:E$76)+SUMPRODUCT((Fixtures!G$5:G$76=B22)*(Fixtures!F$5:F$76&lt;&gt;"")*Fixtures!F$5:F$76)</f>
        <v/>
      </c>
      <c r="I22" s="27">
        <f>SUMPRODUCT((Fixtures!D$5:D$76=B22)*(Fixtures!F$5:F$76&lt;&gt;"")*Fixtures!F$5:F$76)+SUMPRODUCT((Fixtures!G$5:G$76=B22)*(Fixtures!E$5:E$76&lt;&gt;"")*Fixtures!E$5:E$76)</f>
        <v/>
      </c>
      <c r="J22" s="27">
        <f>H22-I22</f>
        <v/>
      </c>
      <c r="K22" s="27">
        <f>SUMPRODUCT((Fixtures!D$5:D$76=B22)*(Fixtures!E$5:E$76&lt;&gt;"")*(Fixtures!F$5:F$76&lt;&gt;"")*((Fixtures!E$5:E$76&gt;Fixtures!F$5:F$76)*3+(Fixtures!E$5:E$76=Fixtures!F$5:F$76)*2))+SUMPRODUCT((Fixtures!G$5:G$76=B22)*(Fixtures!E$5:E$76&lt;&gt;"")*(Fixtures!F$5:F$76&lt;&gt;"")*((Fixtures!F$5:F$76&gt;Fixtures!E$5:E$76)*3+(Fixtures!E$5:E$76=Fixtures!F$5:F$76)*2))</f>
        <v/>
      </c>
    </row>
    <row r="23">
      <c r="A23" s="27" t="n">
        <v>19</v>
      </c>
      <c r="B23" s="28" t="inlineStr">
        <is>
          <t>Ivory Coast</t>
        </is>
      </c>
      <c r="C23" s="27" t="inlineStr">
        <is>
          <t>Group E</t>
        </is>
      </c>
      <c r="D23" s="27">
        <f>COUNTIFS(Fixtures!D$5:D$76,B23,Fixtures!E$5:E$76,"&lt;&gt;")+COUNTIFS(Fixtures!G$5:G$76,B23,Fixtures!F$5:F$76,"&lt;&gt;")</f>
        <v/>
      </c>
      <c r="E23" s="27">
        <f>COUNTIFS(Fixtures!D$5:D$76,B23,Fixtures!J$5:J$76,"W")+COUNTIFS(Fixtures!G$5:G$76,B23,Fixtures!K$5:K$76,"W")</f>
        <v/>
      </c>
      <c r="F23" s="27">
        <f>COUNTIFS(Fixtures!D$5:D$76,B23,Fixtures!J$5:J$76,"D")+COUNTIFS(Fixtures!G$5:G$76,B23,Fixtures!K$5:K$76,"D")</f>
        <v/>
      </c>
      <c r="G23" s="27">
        <f>COUNTIFS(Fixtures!D$5:D$76,B23,Fixtures!J$5:J$76,"L")+COUNTIFS(Fixtures!G$5:G$76,B23,Fixtures!K$5:K$76,"L")</f>
        <v/>
      </c>
      <c r="H23" s="27">
        <f>SUMPRODUCT((Fixtures!D$5:D$76=B23)*(Fixtures!E$5:E$76&lt;&gt;"")*Fixtures!E$5:E$76)+SUMPRODUCT((Fixtures!G$5:G$76=B23)*(Fixtures!F$5:F$76&lt;&gt;"")*Fixtures!F$5:F$76)</f>
        <v/>
      </c>
      <c r="I23" s="27">
        <f>SUMPRODUCT((Fixtures!D$5:D$76=B23)*(Fixtures!F$5:F$76&lt;&gt;"")*Fixtures!F$5:F$76)+SUMPRODUCT((Fixtures!G$5:G$76=B23)*(Fixtures!E$5:E$76&lt;&gt;"")*Fixtures!E$5:E$76)</f>
        <v/>
      </c>
      <c r="J23" s="27">
        <f>H23-I23</f>
        <v/>
      </c>
      <c r="K23" s="27">
        <f>SUMPRODUCT((Fixtures!D$5:D$76=B23)*(Fixtures!E$5:E$76&lt;&gt;"")*(Fixtures!F$5:F$76&lt;&gt;"")*((Fixtures!E$5:E$76&gt;Fixtures!F$5:F$76)*3+(Fixtures!E$5:E$76=Fixtures!F$5:F$76)*2))+SUMPRODUCT((Fixtures!G$5:G$76=B23)*(Fixtures!E$5:E$76&lt;&gt;"")*(Fixtures!F$5:F$76&lt;&gt;"")*((Fixtures!F$5:F$76&gt;Fixtures!E$5:E$76)*3+(Fixtures!E$5:E$76=Fixtures!F$5:F$76)*2))</f>
        <v/>
      </c>
    </row>
    <row r="24">
      <c r="A24" s="27" t="n">
        <v>20</v>
      </c>
      <c r="B24" s="28" t="inlineStr">
        <is>
          <t>Ecuador</t>
        </is>
      </c>
      <c r="C24" s="27" t="inlineStr">
        <is>
          <t>Group E</t>
        </is>
      </c>
      <c r="D24" s="27">
        <f>COUNTIFS(Fixtures!D$5:D$76,B24,Fixtures!E$5:E$76,"&lt;&gt;")+COUNTIFS(Fixtures!G$5:G$76,B24,Fixtures!F$5:F$76,"&lt;&gt;")</f>
        <v/>
      </c>
      <c r="E24" s="27">
        <f>COUNTIFS(Fixtures!D$5:D$76,B24,Fixtures!J$5:J$76,"W")+COUNTIFS(Fixtures!G$5:G$76,B24,Fixtures!K$5:K$76,"W")</f>
        <v/>
      </c>
      <c r="F24" s="27">
        <f>COUNTIFS(Fixtures!D$5:D$76,B24,Fixtures!J$5:J$76,"D")+COUNTIFS(Fixtures!G$5:G$76,B24,Fixtures!K$5:K$76,"D")</f>
        <v/>
      </c>
      <c r="G24" s="27">
        <f>COUNTIFS(Fixtures!D$5:D$76,B24,Fixtures!J$5:J$76,"L")+COUNTIFS(Fixtures!G$5:G$76,B24,Fixtures!K$5:K$76,"L")</f>
        <v/>
      </c>
      <c r="H24" s="27">
        <f>SUMPRODUCT((Fixtures!D$5:D$76=B24)*(Fixtures!E$5:E$76&lt;&gt;"")*Fixtures!E$5:E$76)+SUMPRODUCT((Fixtures!G$5:G$76=B24)*(Fixtures!F$5:F$76&lt;&gt;"")*Fixtures!F$5:F$76)</f>
        <v/>
      </c>
      <c r="I24" s="27">
        <f>SUMPRODUCT((Fixtures!D$5:D$76=B24)*(Fixtures!F$5:F$76&lt;&gt;"")*Fixtures!F$5:F$76)+SUMPRODUCT((Fixtures!G$5:G$76=B24)*(Fixtures!E$5:E$76&lt;&gt;"")*Fixtures!E$5:E$76)</f>
        <v/>
      </c>
      <c r="J24" s="27">
        <f>H24-I24</f>
        <v/>
      </c>
      <c r="K24" s="27">
        <f>SUMPRODUCT((Fixtures!D$5:D$76=B24)*(Fixtures!E$5:E$76&lt;&gt;"")*(Fixtures!F$5:F$76&lt;&gt;"")*((Fixtures!E$5:E$76&gt;Fixtures!F$5:F$76)*3+(Fixtures!E$5:E$76=Fixtures!F$5:F$76)*2))+SUMPRODUCT((Fixtures!G$5:G$76=B24)*(Fixtures!E$5:E$76&lt;&gt;"")*(Fixtures!F$5:F$76&lt;&gt;"")*((Fixtures!F$5:F$76&gt;Fixtures!E$5:E$76)*3+(Fixtures!E$5:E$76=Fixtures!F$5:F$76)*2))</f>
        <v/>
      </c>
    </row>
    <row r="25">
      <c r="A25" s="29" t="n">
        <v>21</v>
      </c>
      <c r="B25" s="30" t="inlineStr">
        <is>
          <t>Netherlands</t>
        </is>
      </c>
      <c r="C25" s="29" t="inlineStr">
        <is>
          <t>Group F</t>
        </is>
      </c>
      <c r="D25" s="29">
        <f>COUNTIFS(Fixtures!D$5:D$76,B25,Fixtures!E$5:E$76,"&lt;&gt;")+COUNTIFS(Fixtures!G$5:G$76,B25,Fixtures!F$5:F$76,"&lt;&gt;")</f>
        <v/>
      </c>
      <c r="E25" s="29">
        <f>COUNTIFS(Fixtures!D$5:D$76,B25,Fixtures!J$5:J$76,"W")+COUNTIFS(Fixtures!G$5:G$76,B25,Fixtures!K$5:K$76,"W")</f>
        <v/>
      </c>
      <c r="F25" s="29">
        <f>COUNTIFS(Fixtures!D$5:D$76,B25,Fixtures!J$5:J$76,"D")+COUNTIFS(Fixtures!G$5:G$76,B25,Fixtures!K$5:K$76,"D")</f>
        <v/>
      </c>
      <c r="G25" s="29">
        <f>COUNTIFS(Fixtures!D$5:D$76,B25,Fixtures!J$5:J$76,"L")+COUNTIFS(Fixtures!G$5:G$76,B25,Fixtures!K$5:K$76,"L")</f>
        <v/>
      </c>
      <c r="H25" s="29">
        <f>SUMPRODUCT((Fixtures!D$5:D$76=B25)*(Fixtures!E$5:E$76&lt;&gt;"")*Fixtures!E$5:E$76)+SUMPRODUCT((Fixtures!G$5:G$76=B25)*(Fixtures!F$5:F$76&lt;&gt;"")*Fixtures!F$5:F$76)</f>
        <v/>
      </c>
      <c r="I25" s="29">
        <f>SUMPRODUCT((Fixtures!D$5:D$76=B25)*(Fixtures!F$5:F$76&lt;&gt;"")*Fixtures!F$5:F$76)+SUMPRODUCT((Fixtures!G$5:G$76=B25)*(Fixtures!E$5:E$76&lt;&gt;"")*Fixtures!E$5:E$76)</f>
        <v/>
      </c>
      <c r="J25" s="29">
        <f>H25-I25</f>
        <v/>
      </c>
      <c r="K25" s="29">
        <f>SUMPRODUCT((Fixtures!D$5:D$76=B25)*(Fixtures!E$5:E$76&lt;&gt;"")*(Fixtures!F$5:F$76&lt;&gt;"")*((Fixtures!E$5:E$76&gt;Fixtures!F$5:F$76)*3+(Fixtures!E$5:E$76=Fixtures!F$5:F$76)*2))+SUMPRODUCT((Fixtures!G$5:G$76=B25)*(Fixtures!E$5:E$76&lt;&gt;"")*(Fixtures!F$5:F$76&lt;&gt;"")*((Fixtures!F$5:F$76&gt;Fixtures!E$5:E$76)*3+(Fixtures!E$5:E$76=Fixtures!F$5:F$76)*2))</f>
        <v/>
      </c>
    </row>
    <row r="26">
      <c r="A26" s="29" t="n">
        <v>22</v>
      </c>
      <c r="B26" s="30" t="inlineStr">
        <is>
          <t>Japan</t>
        </is>
      </c>
      <c r="C26" s="29" t="inlineStr">
        <is>
          <t>Group F</t>
        </is>
      </c>
      <c r="D26" s="29">
        <f>COUNTIFS(Fixtures!D$5:D$76,B26,Fixtures!E$5:E$76,"&lt;&gt;")+COUNTIFS(Fixtures!G$5:G$76,B26,Fixtures!F$5:F$76,"&lt;&gt;")</f>
        <v/>
      </c>
      <c r="E26" s="29">
        <f>COUNTIFS(Fixtures!D$5:D$76,B26,Fixtures!J$5:J$76,"W")+COUNTIFS(Fixtures!G$5:G$76,B26,Fixtures!K$5:K$76,"W")</f>
        <v/>
      </c>
      <c r="F26" s="29">
        <f>COUNTIFS(Fixtures!D$5:D$76,B26,Fixtures!J$5:J$76,"D")+COUNTIFS(Fixtures!G$5:G$76,B26,Fixtures!K$5:K$76,"D")</f>
        <v/>
      </c>
      <c r="G26" s="29">
        <f>COUNTIFS(Fixtures!D$5:D$76,B26,Fixtures!J$5:J$76,"L")+COUNTIFS(Fixtures!G$5:G$76,B26,Fixtures!K$5:K$76,"L")</f>
        <v/>
      </c>
      <c r="H26" s="29">
        <f>SUMPRODUCT((Fixtures!D$5:D$76=B26)*(Fixtures!E$5:E$76&lt;&gt;"")*Fixtures!E$5:E$76)+SUMPRODUCT((Fixtures!G$5:G$76=B26)*(Fixtures!F$5:F$76&lt;&gt;"")*Fixtures!F$5:F$76)</f>
        <v/>
      </c>
      <c r="I26" s="29">
        <f>SUMPRODUCT((Fixtures!D$5:D$76=B26)*(Fixtures!F$5:F$76&lt;&gt;"")*Fixtures!F$5:F$76)+SUMPRODUCT((Fixtures!G$5:G$76=B26)*(Fixtures!E$5:E$76&lt;&gt;"")*Fixtures!E$5:E$76)</f>
        <v/>
      </c>
      <c r="J26" s="29">
        <f>H26-I26</f>
        <v/>
      </c>
      <c r="K26" s="29">
        <f>SUMPRODUCT((Fixtures!D$5:D$76=B26)*(Fixtures!E$5:E$76&lt;&gt;"")*(Fixtures!F$5:F$76&lt;&gt;"")*((Fixtures!E$5:E$76&gt;Fixtures!F$5:F$76)*3+(Fixtures!E$5:E$76=Fixtures!F$5:F$76)*2))+SUMPRODUCT((Fixtures!G$5:G$76=B26)*(Fixtures!E$5:E$76&lt;&gt;"")*(Fixtures!F$5:F$76&lt;&gt;"")*((Fixtures!F$5:F$76&gt;Fixtures!E$5:E$76)*3+(Fixtures!E$5:E$76=Fixtures!F$5:F$76)*2))</f>
        <v/>
      </c>
    </row>
    <row r="27">
      <c r="A27" s="29" t="n">
        <v>23</v>
      </c>
      <c r="B27" s="30" t="inlineStr">
        <is>
          <t>Sweden</t>
        </is>
      </c>
      <c r="C27" s="29" t="inlineStr">
        <is>
          <t>Group F</t>
        </is>
      </c>
      <c r="D27" s="29">
        <f>COUNTIFS(Fixtures!D$5:D$76,B27,Fixtures!E$5:E$76,"&lt;&gt;")+COUNTIFS(Fixtures!G$5:G$76,B27,Fixtures!F$5:F$76,"&lt;&gt;")</f>
        <v/>
      </c>
      <c r="E27" s="29">
        <f>COUNTIFS(Fixtures!D$5:D$76,B27,Fixtures!J$5:J$76,"W")+COUNTIFS(Fixtures!G$5:G$76,B27,Fixtures!K$5:K$76,"W")</f>
        <v/>
      </c>
      <c r="F27" s="29">
        <f>COUNTIFS(Fixtures!D$5:D$76,B27,Fixtures!J$5:J$76,"D")+COUNTIFS(Fixtures!G$5:G$76,B27,Fixtures!K$5:K$76,"D")</f>
        <v/>
      </c>
      <c r="G27" s="29">
        <f>COUNTIFS(Fixtures!D$5:D$76,B27,Fixtures!J$5:J$76,"L")+COUNTIFS(Fixtures!G$5:G$76,B27,Fixtures!K$5:K$76,"L")</f>
        <v/>
      </c>
      <c r="H27" s="29">
        <f>SUMPRODUCT((Fixtures!D$5:D$76=B27)*(Fixtures!E$5:E$76&lt;&gt;"")*Fixtures!E$5:E$76)+SUMPRODUCT((Fixtures!G$5:G$76=B27)*(Fixtures!F$5:F$76&lt;&gt;"")*Fixtures!F$5:F$76)</f>
        <v/>
      </c>
      <c r="I27" s="29">
        <f>SUMPRODUCT((Fixtures!D$5:D$76=B27)*(Fixtures!F$5:F$76&lt;&gt;"")*Fixtures!F$5:F$76)+SUMPRODUCT((Fixtures!G$5:G$76=B27)*(Fixtures!E$5:E$76&lt;&gt;"")*Fixtures!E$5:E$76)</f>
        <v/>
      </c>
      <c r="J27" s="29">
        <f>H27-I27</f>
        <v/>
      </c>
      <c r="K27" s="29">
        <f>SUMPRODUCT((Fixtures!D$5:D$76=B27)*(Fixtures!E$5:E$76&lt;&gt;"")*(Fixtures!F$5:F$76&lt;&gt;"")*((Fixtures!E$5:E$76&gt;Fixtures!F$5:F$76)*3+(Fixtures!E$5:E$76=Fixtures!F$5:F$76)*2))+SUMPRODUCT((Fixtures!G$5:G$76=B27)*(Fixtures!E$5:E$76&lt;&gt;"")*(Fixtures!F$5:F$76&lt;&gt;"")*((Fixtures!F$5:F$76&gt;Fixtures!E$5:E$76)*3+(Fixtures!E$5:E$76=Fixtures!F$5:F$76)*2))</f>
        <v/>
      </c>
    </row>
    <row r="28">
      <c r="A28" s="29" t="n">
        <v>24</v>
      </c>
      <c r="B28" s="30" t="inlineStr">
        <is>
          <t>Tunisia</t>
        </is>
      </c>
      <c r="C28" s="29" t="inlineStr">
        <is>
          <t>Group F</t>
        </is>
      </c>
      <c r="D28" s="29">
        <f>COUNTIFS(Fixtures!D$5:D$76,B28,Fixtures!E$5:E$76,"&lt;&gt;")+COUNTIFS(Fixtures!G$5:G$76,B28,Fixtures!F$5:F$76,"&lt;&gt;")</f>
        <v/>
      </c>
      <c r="E28" s="29">
        <f>COUNTIFS(Fixtures!D$5:D$76,B28,Fixtures!J$5:J$76,"W")+COUNTIFS(Fixtures!G$5:G$76,B28,Fixtures!K$5:K$76,"W")</f>
        <v/>
      </c>
      <c r="F28" s="29">
        <f>COUNTIFS(Fixtures!D$5:D$76,B28,Fixtures!J$5:J$76,"D")+COUNTIFS(Fixtures!G$5:G$76,B28,Fixtures!K$5:K$76,"D")</f>
        <v/>
      </c>
      <c r="G28" s="29">
        <f>COUNTIFS(Fixtures!D$5:D$76,B28,Fixtures!J$5:J$76,"L")+COUNTIFS(Fixtures!G$5:G$76,B28,Fixtures!K$5:K$76,"L")</f>
        <v/>
      </c>
      <c r="H28" s="29">
        <f>SUMPRODUCT((Fixtures!D$5:D$76=B28)*(Fixtures!E$5:E$76&lt;&gt;"")*Fixtures!E$5:E$76)+SUMPRODUCT((Fixtures!G$5:G$76=B28)*(Fixtures!F$5:F$76&lt;&gt;"")*Fixtures!F$5:F$76)</f>
        <v/>
      </c>
      <c r="I28" s="29">
        <f>SUMPRODUCT((Fixtures!D$5:D$76=B28)*(Fixtures!F$5:F$76&lt;&gt;"")*Fixtures!F$5:F$76)+SUMPRODUCT((Fixtures!G$5:G$76=B28)*(Fixtures!E$5:E$76&lt;&gt;"")*Fixtures!E$5:E$76)</f>
        <v/>
      </c>
      <c r="J28" s="29">
        <f>H28-I28</f>
        <v/>
      </c>
      <c r="K28" s="29">
        <f>SUMPRODUCT((Fixtures!D$5:D$76=B28)*(Fixtures!E$5:E$76&lt;&gt;"")*(Fixtures!F$5:F$76&lt;&gt;"")*((Fixtures!E$5:E$76&gt;Fixtures!F$5:F$76)*3+(Fixtures!E$5:E$76=Fixtures!F$5:F$76)*2))+SUMPRODUCT((Fixtures!G$5:G$76=B28)*(Fixtures!E$5:E$76&lt;&gt;"")*(Fixtures!F$5:F$76&lt;&gt;"")*((Fixtures!F$5:F$76&gt;Fixtures!E$5:E$76)*3+(Fixtures!E$5:E$76=Fixtures!F$5:F$76)*2))</f>
        <v/>
      </c>
    </row>
    <row r="29">
      <c r="A29" s="33" t="n">
        <v>25</v>
      </c>
      <c r="B29" s="34" t="inlineStr">
        <is>
          <t>Belgium</t>
        </is>
      </c>
      <c r="C29" s="33" t="inlineStr">
        <is>
          <t>Group G</t>
        </is>
      </c>
      <c r="D29" s="33">
        <f>COUNTIFS(Fixtures!D$5:D$76,B29,Fixtures!E$5:E$76,"&lt;&gt;")+COUNTIFS(Fixtures!G$5:G$76,B29,Fixtures!F$5:F$76,"&lt;&gt;")</f>
        <v/>
      </c>
      <c r="E29" s="33">
        <f>COUNTIFS(Fixtures!D$5:D$76,B29,Fixtures!J$5:J$76,"W")+COUNTIFS(Fixtures!G$5:G$76,B29,Fixtures!K$5:K$76,"W")</f>
        <v/>
      </c>
      <c r="F29" s="33">
        <f>COUNTIFS(Fixtures!D$5:D$76,B29,Fixtures!J$5:J$76,"D")+COUNTIFS(Fixtures!G$5:G$76,B29,Fixtures!K$5:K$76,"D")</f>
        <v/>
      </c>
      <c r="G29" s="33">
        <f>COUNTIFS(Fixtures!D$5:D$76,B29,Fixtures!J$5:J$76,"L")+COUNTIFS(Fixtures!G$5:G$76,B29,Fixtures!K$5:K$76,"L")</f>
        <v/>
      </c>
      <c r="H29" s="33">
        <f>SUMPRODUCT((Fixtures!D$5:D$76=B29)*(Fixtures!E$5:E$76&lt;&gt;"")*Fixtures!E$5:E$76)+SUMPRODUCT((Fixtures!G$5:G$76=B29)*(Fixtures!F$5:F$76&lt;&gt;"")*Fixtures!F$5:F$76)</f>
        <v/>
      </c>
      <c r="I29" s="33">
        <f>SUMPRODUCT((Fixtures!D$5:D$76=B29)*(Fixtures!F$5:F$76&lt;&gt;"")*Fixtures!F$5:F$76)+SUMPRODUCT((Fixtures!G$5:G$76=B29)*(Fixtures!E$5:E$76&lt;&gt;"")*Fixtures!E$5:E$76)</f>
        <v/>
      </c>
      <c r="J29" s="33">
        <f>H29-I29</f>
        <v/>
      </c>
      <c r="K29" s="33">
        <f>SUMPRODUCT((Fixtures!D$5:D$76=B29)*(Fixtures!E$5:E$76&lt;&gt;"")*(Fixtures!F$5:F$76&lt;&gt;"")*((Fixtures!E$5:E$76&gt;Fixtures!F$5:F$76)*3+(Fixtures!E$5:E$76=Fixtures!F$5:F$76)*2))+SUMPRODUCT((Fixtures!G$5:G$76=B29)*(Fixtures!E$5:E$76&lt;&gt;"")*(Fixtures!F$5:F$76&lt;&gt;"")*((Fixtures!F$5:F$76&gt;Fixtures!E$5:E$76)*3+(Fixtures!E$5:E$76=Fixtures!F$5:F$76)*2))</f>
        <v/>
      </c>
    </row>
    <row r="30">
      <c r="A30" s="33" t="n">
        <v>26</v>
      </c>
      <c r="B30" s="34" t="inlineStr">
        <is>
          <t>Egypt</t>
        </is>
      </c>
      <c r="C30" s="33" t="inlineStr">
        <is>
          <t>Group G</t>
        </is>
      </c>
      <c r="D30" s="33">
        <f>COUNTIFS(Fixtures!D$5:D$76,B30,Fixtures!E$5:E$76,"&lt;&gt;")+COUNTIFS(Fixtures!G$5:G$76,B30,Fixtures!F$5:F$76,"&lt;&gt;")</f>
        <v/>
      </c>
      <c r="E30" s="33">
        <f>COUNTIFS(Fixtures!D$5:D$76,B30,Fixtures!J$5:J$76,"W")+COUNTIFS(Fixtures!G$5:G$76,B30,Fixtures!K$5:K$76,"W")</f>
        <v/>
      </c>
      <c r="F30" s="33">
        <f>COUNTIFS(Fixtures!D$5:D$76,B30,Fixtures!J$5:J$76,"D")+COUNTIFS(Fixtures!G$5:G$76,B30,Fixtures!K$5:K$76,"D")</f>
        <v/>
      </c>
      <c r="G30" s="33">
        <f>COUNTIFS(Fixtures!D$5:D$76,B30,Fixtures!J$5:J$76,"L")+COUNTIFS(Fixtures!G$5:G$76,B30,Fixtures!K$5:K$76,"L")</f>
        <v/>
      </c>
      <c r="H30" s="33">
        <f>SUMPRODUCT((Fixtures!D$5:D$76=B30)*(Fixtures!E$5:E$76&lt;&gt;"")*Fixtures!E$5:E$76)+SUMPRODUCT((Fixtures!G$5:G$76=B30)*(Fixtures!F$5:F$76&lt;&gt;"")*Fixtures!F$5:F$76)</f>
        <v/>
      </c>
      <c r="I30" s="33">
        <f>SUMPRODUCT((Fixtures!D$5:D$76=B30)*(Fixtures!F$5:F$76&lt;&gt;"")*Fixtures!F$5:F$76)+SUMPRODUCT((Fixtures!G$5:G$76=B30)*(Fixtures!E$5:E$76&lt;&gt;"")*Fixtures!E$5:E$76)</f>
        <v/>
      </c>
      <c r="J30" s="33">
        <f>H30-I30</f>
        <v/>
      </c>
      <c r="K30" s="33">
        <f>SUMPRODUCT((Fixtures!D$5:D$76=B30)*(Fixtures!E$5:E$76&lt;&gt;"")*(Fixtures!F$5:F$76&lt;&gt;"")*((Fixtures!E$5:E$76&gt;Fixtures!F$5:F$76)*3+(Fixtures!E$5:E$76=Fixtures!F$5:F$76)*2))+SUMPRODUCT((Fixtures!G$5:G$76=B30)*(Fixtures!E$5:E$76&lt;&gt;"")*(Fixtures!F$5:F$76&lt;&gt;"")*((Fixtures!F$5:F$76&gt;Fixtures!E$5:E$76)*3+(Fixtures!E$5:E$76=Fixtures!F$5:F$76)*2))</f>
        <v/>
      </c>
    </row>
    <row r="31">
      <c r="A31" s="33" t="n">
        <v>27</v>
      </c>
      <c r="B31" s="34" t="inlineStr">
        <is>
          <t>Iran</t>
        </is>
      </c>
      <c r="C31" s="33" t="inlineStr">
        <is>
          <t>Group G</t>
        </is>
      </c>
      <c r="D31" s="33">
        <f>COUNTIFS(Fixtures!D$5:D$76,B31,Fixtures!E$5:E$76,"&lt;&gt;")+COUNTIFS(Fixtures!G$5:G$76,B31,Fixtures!F$5:F$76,"&lt;&gt;")</f>
        <v/>
      </c>
      <c r="E31" s="33">
        <f>COUNTIFS(Fixtures!D$5:D$76,B31,Fixtures!J$5:J$76,"W")+COUNTIFS(Fixtures!G$5:G$76,B31,Fixtures!K$5:K$76,"W")</f>
        <v/>
      </c>
      <c r="F31" s="33">
        <f>COUNTIFS(Fixtures!D$5:D$76,B31,Fixtures!J$5:J$76,"D")+COUNTIFS(Fixtures!G$5:G$76,B31,Fixtures!K$5:K$76,"D")</f>
        <v/>
      </c>
      <c r="G31" s="33">
        <f>COUNTIFS(Fixtures!D$5:D$76,B31,Fixtures!J$5:J$76,"L")+COUNTIFS(Fixtures!G$5:G$76,B31,Fixtures!K$5:K$76,"L")</f>
        <v/>
      </c>
      <c r="H31" s="33">
        <f>SUMPRODUCT((Fixtures!D$5:D$76=B31)*(Fixtures!E$5:E$76&lt;&gt;"")*Fixtures!E$5:E$76)+SUMPRODUCT((Fixtures!G$5:G$76=B31)*(Fixtures!F$5:F$76&lt;&gt;"")*Fixtures!F$5:F$76)</f>
        <v/>
      </c>
      <c r="I31" s="33">
        <f>SUMPRODUCT((Fixtures!D$5:D$76=B31)*(Fixtures!F$5:F$76&lt;&gt;"")*Fixtures!F$5:F$76)+SUMPRODUCT((Fixtures!G$5:G$76=B31)*(Fixtures!E$5:E$76&lt;&gt;"")*Fixtures!E$5:E$76)</f>
        <v/>
      </c>
      <c r="J31" s="33">
        <f>H31-I31</f>
        <v/>
      </c>
      <c r="K31" s="33">
        <f>SUMPRODUCT((Fixtures!D$5:D$76=B31)*(Fixtures!E$5:E$76&lt;&gt;"")*(Fixtures!F$5:F$76&lt;&gt;"")*((Fixtures!E$5:E$76&gt;Fixtures!F$5:F$76)*3+(Fixtures!E$5:E$76=Fixtures!F$5:F$76)*2))+SUMPRODUCT((Fixtures!G$5:G$76=B31)*(Fixtures!E$5:E$76&lt;&gt;"")*(Fixtures!F$5:F$76&lt;&gt;"")*((Fixtures!F$5:F$76&gt;Fixtures!E$5:E$76)*3+(Fixtures!E$5:E$76=Fixtures!F$5:F$76)*2))</f>
        <v/>
      </c>
    </row>
    <row r="32">
      <c r="A32" s="33" t="n">
        <v>28</v>
      </c>
      <c r="B32" s="34" t="inlineStr">
        <is>
          <t>New Zealand</t>
        </is>
      </c>
      <c r="C32" s="33" t="inlineStr">
        <is>
          <t>Group G</t>
        </is>
      </c>
      <c r="D32" s="33">
        <f>COUNTIFS(Fixtures!D$5:D$76,B32,Fixtures!E$5:E$76,"&lt;&gt;")+COUNTIFS(Fixtures!G$5:G$76,B32,Fixtures!F$5:F$76,"&lt;&gt;")</f>
        <v/>
      </c>
      <c r="E32" s="33">
        <f>COUNTIFS(Fixtures!D$5:D$76,B32,Fixtures!J$5:J$76,"W")+COUNTIFS(Fixtures!G$5:G$76,B32,Fixtures!K$5:K$76,"W")</f>
        <v/>
      </c>
      <c r="F32" s="33">
        <f>COUNTIFS(Fixtures!D$5:D$76,B32,Fixtures!J$5:J$76,"D")+COUNTIFS(Fixtures!G$5:G$76,B32,Fixtures!K$5:K$76,"D")</f>
        <v/>
      </c>
      <c r="G32" s="33">
        <f>COUNTIFS(Fixtures!D$5:D$76,B32,Fixtures!J$5:J$76,"L")+COUNTIFS(Fixtures!G$5:G$76,B32,Fixtures!K$5:K$76,"L")</f>
        <v/>
      </c>
      <c r="H32" s="33">
        <f>SUMPRODUCT((Fixtures!D$5:D$76=B32)*(Fixtures!E$5:E$76&lt;&gt;"")*Fixtures!E$5:E$76)+SUMPRODUCT((Fixtures!G$5:G$76=B32)*(Fixtures!F$5:F$76&lt;&gt;"")*Fixtures!F$5:F$76)</f>
        <v/>
      </c>
      <c r="I32" s="33">
        <f>SUMPRODUCT((Fixtures!D$5:D$76=B32)*(Fixtures!F$5:F$76&lt;&gt;"")*Fixtures!F$5:F$76)+SUMPRODUCT((Fixtures!G$5:G$76=B32)*(Fixtures!E$5:E$76&lt;&gt;"")*Fixtures!E$5:E$76)</f>
        <v/>
      </c>
      <c r="J32" s="33">
        <f>H32-I32</f>
        <v/>
      </c>
      <c r="K32" s="33">
        <f>SUMPRODUCT((Fixtures!D$5:D$76=B32)*(Fixtures!E$5:E$76&lt;&gt;"")*(Fixtures!F$5:F$76&lt;&gt;"")*((Fixtures!E$5:E$76&gt;Fixtures!F$5:F$76)*3+(Fixtures!E$5:E$76=Fixtures!F$5:F$76)*2))+SUMPRODUCT((Fixtures!G$5:G$76=B32)*(Fixtures!E$5:E$76&lt;&gt;"")*(Fixtures!F$5:F$76&lt;&gt;"")*((Fixtures!F$5:F$76&gt;Fixtures!E$5:E$76)*3+(Fixtures!E$5:E$76=Fixtures!F$5:F$76)*2))</f>
        <v/>
      </c>
    </row>
    <row r="33">
      <c r="A33" s="31" t="n">
        <v>29</v>
      </c>
      <c r="B33" s="32" t="inlineStr">
        <is>
          <t>Spain</t>
        </is>
      </c>
      <c r="C33" s="31" t="inlineStr">
        <is>
          <t>Group H</t>
        </is>
      </c>
      <c r="D33" s="31">
        <f>COUNTIFS(Fixtures!D$5:D$76,B33,Fixtures!E$5:E$76,"&lt;&gt;")+COUNTIFS(Fixtures!G$5:G$76,B33,Fixtures!F$5:F$76,"&lt;&gt;")</f>
        <v/>
      </c>
      <c r="E33" s="31">
        <f>COUNTIFS(Fixtures!D$5:D$76,B33,Fixtures!J$5:J$76,"W")+COUNTIFS(Fixtures!G$5:G$76,B33,Fixtures!K$5:K$76,"W")</f>
        <v/>
      </c>
      <c r="F33" s="31">
        <f>COUNTIFS(Fixtures!D$5:D$76,B33,Fixtures!J$5:J$76,"D")+COUNTIFS(Fixtures!G$5:G$76,B33,Fixtures!K$5:K$76,"D")</f>
        <v/>
      </c>
      <c r="G33" s="31">
        <f>COUNTIFS(Fixtures!D$5:D$76,B33,Fixtures!J$5:J$76,"L")+COUNTIFS(Fixtures!G$5:G$76,B33,Fixtures!K$5:K$76,"L")</f>
        <v/>
      </c>
      <c r="H33" s="31">
        <f>SUMPRODUCT((Fixtures!D$5:D$76=B33)*(Fixtures!E$5:E$76&lt;&gt;"")*Fixtures!E$5:E$76)+SUMPRODUCT((Fixtures!G$5:G$76=B33)*(Fixtures!F$5:F$76&lt;&gt;"")*Fixtures!F$5:F$76)</f>
        <v/>
      </c>
      <c r="I33" s="31">
        <f>SUMPRODUCT((Fixtures!D$5:D$76=B33)*(Fixtures!F$5:F$76&lt;&gt;"")*Fixtures!F$5:F$76)+SUMPRODUCT((Fixtures!G$5:G$76=B33)*(Fixtures!E$5:E$76&lt;&gt;"")*Fixtures!E$5:E$76)</f>
        <v/>
      </c>
      <c r="J33" s="31">
        <f>H33-I33</f>
        <v/>
      </c>
      <c r="K33" s="31">
        <f>SUMPRODUCT((Fixtures!D$5:D$76=B33)*(Fixtures!E$5:E$76&lt;&gt;"")*(Fixtures!F$5:F$76&lt;&gt;"")*((Fixtures!E$5:E$76&gt;Fixtures!F$5:F$76)*3+(Fixtures!E$5:E$76=Fixtures!F$5:F$76)*2))+SUMPRODUCT((Fixtures!G$5:G$76=B33)*(Fixtures!E$5:E$76&lt;&gt;"")*(Fixtures!F$5:F$76&lt;&gt;"")*((Fixtures!F$5:F$76&gt;Fixtures!E$5:E$76)*3+(Fixtures!E$5:E$76=Fixtures!F$5:F$76)*2))</f>
        <v/>
      </c>
    </row>
    <row r="34">
      <c r="A34" s="31" t="n">
        <v>30</v>
      </c>
      <c r="B34" s="32" t="inlineStr">
        <is>
          <t>Cape Verde</t>
        </is>
      </c>
      <c r="C34" s="31" t="inlineStr">
        <is>
          <t>Group H</t>
        </is>
      </c>
      <c r="D34" s="31">
        <f>COUNTIFS(Fixtures!D$5:D$76,B34,Fixtures!E$5:E$76,"&lt;&gt;")+COUNTIFS(Fixtures!G$5:G$76,B34,Fixtures!F$5:F$76,"&lt;&gt;")</f>
        <v/>
      </c>
      <c r="E34" s="31">
        <f>COUNTIFS(Fixtures!D$5:D$76,B34,Fixtures!J$5:J$76,"W")+COUNTIFS(Fixtures!G$5:G$76,B34,Fixtures!K$5:K$76,"W")</f>
        <v/>
      </c>
      <c r="F34" s="31">
        <f>COUNTIFS(Fixtures!D$5:D$76,B34,Fixtures!J$5:J$76,"D")+COUNTIFS(Fixtures!G$5:G$76,B34,Fixtures!K$5:K$76,"D")</f>
        <v/>
      </c>
      <c r="G34" s="31">
        <f>COUNTIFS(Fixtures!D$5:D$76,B34,Fixtures!J$5:J$76,"L")+COUNTIFS(Fixtures!G$5:G$76,B34,Fixtures!K$5:K$76,"L")</f>
        <v/>
      </c>
      <c r="H34" s="31">
        <f>SUMPRODUCT((Fixtures!D$5:D$76=B34)*(Fixtures!E$5:E$76&lt;&gt;"")*Fixtures!E$5:E$76)+SUMPRODUCT((Fixtures!G$5:G$76=B34)*(Fixtures!F$5:F$76&lt;&gt;"")*Fixtures!F$5:F$76)</f>
        <v/>
      </c>
      <c r="I34" s="31">
        <f>SUMPRODUCT((Fixtures!D$5:D$76=B34)*(Fixtures!F$5:F$76&lt;&gt;"")*Fixtures!F$5:F$76)+SUMPRODUCT((Fixtures!G$5:G$76=B34)*(Fixtures!E$5:E$76&lt;&gt;"")*Fixtures!E$5:E$76)</f>
        <v/>
      </c>
      <c r="J34" s="31">
        <f>H34-I34</f>
        <v/>
      </c>
      <c r="K34" s="31">
        <f>SUMPRODUCT((Fixtures!D$5:D$76=B34)*(Fixtures!E$5:E$76&lt;&gt;"")*(Fixtures!F$5:F$76&lt;&gt;"")*((Fixtures!E$5:E$76&gt;Fixtures!F$5:F$76)*3+(Fixtures!E$5:E$76=Fixtures!F$5:F$76)*2))+SUMPRODUCT((Fixtures!G$5:G$76=B34)*(Fixtures!E$5:E$76&lt;&gt;"")*(Fixtures!F$5:F$76&lt;&gt;"")*((Fixtures!F$5:F$76&gt;Fixtures!E$5:E$76)*3+(Fixtures!E$5:E$76=Fixtures!F$5:F$76)*2))</f>
        <v/>
      </c>
    </row>
    <row r="35">
      <c r="A35" s="31" t="n">
        <v>31</v>
      </c>
      <c r="B35" s="32" t="inlineStr">
        <is>
          <t>Saudi Arabia</t>
        </is>
      </c>
      <c r="C35" s="31" t="inlineStr">
        <is>
          <t>Group H</t>
        </is>
      </c>
      <c r="D35" s="31">
        <f>COUNTIFS(Fixtures!D$5:D$76,B35,Fixtures!E$5:E$76,"&lt;&gt;")+COUNTIFS(Fixtures!G$5:G$76,B35,Fixtures!F$5:F$76,"&lt;&gt;")</f>
        <v/>
      </c>
      <c r="E35" s="31">
        <f>COUNTIFS(Fixtures!D$5:D$76,B35,Fixtures!J$5:J$76,"W")+COUNTIFS(Fixtures!G$5:G$76,B35,Fixtures!K$5:K$76,"W")</f>
        <v/>
      </c>
      <c r="F35" s="31">
        <f>COUNTIFS(Fixtures!D$5:D$76,B35,Fixtures!J$5:J$76,"D")+COUNTIFS(Fixtures!G$5:G$76,B35,Fixtures!K$5:K$76,"D")</f>
        <v/>
      </c>
      <c r="G35" s="31">
        <f>COUNTIFS(Fixtures!D$5:D$76,B35,Fixtures!J$5:J$76,"L")+COUNTIFS(Fixtures!G$5:G$76,B35,Fixtures!K$5:K$76,"L")</f>
        <v/>
      </c>
      <c r="H35" s="31">
        <f>SUMPRODUCT((Fixtures!D$5:D$76=B35)*(Fixtures!E$5:E$76&lt;&gt;"")*Fixtures!E$5:E$76)+SUMPRODUCT((Fixtures!G$5:G$76=B35)*(Fixtures!F$5:F$76&lt;&gt;"")*Fixtures!F$5:F$76)</f>
        <v/>
      </c>
      <c r="I35" s="31">
        <f>SUMPRODUCT((Fixtures!D$5:D$76=B35)*(Fixtures!F$5:F$76&lt;&gt;"")*Fixtures!F$5:F$76)+SUMPRODUCT((Fixtures!G$5:G$76=B35)*(Fixtures!E$5:E$76&lt;&gt;"")*Fixtures!E$5:E$76)</f>
        <v/>
      </c>
      <c r="J35" s="31">
        <f>H35-I35</f>
        <v/>
      </c>
      <c r="K35" s="31">
        <f>SUMPRODUCT((Fixtures!D$5:D$76=B35)*(Fixtures!E$5:E$76&lt;&gt;"")*(Fixtures!F$5:F$76&lt;&gt;"")*((Fixtures!E$5:E$76&gt;Fixtures!F$5:F$76)*3+(Fixtures!E$5:E$76=Fixtures!F$5:F$76)*2))+SUMPRODUCT((Fixtures!G$5:G$76=B35)*(Fixtures!E$5:E$76&lt;&gt;"")*(Fixtures!F$5:F$76&lt;&gt;"")*((Fixtures!F$5:F$76&gt;Fixtures!E$5:E$76)*3+(Fixtures!E$5:E$76=Fixtures!F$5:F$76)*2))</f>
        <v/>
      </c>
    </row>
    <row r="36">
      <c r="A36" s="31" t="n">
        <v>32</v>
      </c>
      <c r="B36" s="32" t="inlineStr">
        <is>
          <t>Uruguay</t>
        </is>
      </c>
      <c r="C36" s="31" t="inlineStr">
        <is>
          <t>Group H</t>
        </is>
      </c>
      <c r="D36" s="31">
        <f>COUNTIFS(Fixtures!D$5:D$76,B36,Fixtures!E$5:E$76,"&lt;&gt;")+COUNTIFS(Fixtures!G$5:G$76,B36,Fixtures!F$5:F$76,"&lt;&gt;")</f>
        <v/>
      </c>
      <c r="E36" s="31">
        <f>COUNTIFS(Fixtures!D$5:D$76,B36,Fixtures!J$5:J$76,"W")+COUNTIFS(Fixtures!G$5:G$76,B36,Fixtures!K$5:K$76,"W")</f>
        <v/>
      </c>
      <c r="F36" s="31">
        <f>COUNTIFS(Fixtures!D$5:D$76,B36,Fixtures!J$5:J$76,"D")+COUNTIFS(Fixtures!G$5:G$76,B36,Fixtures!K$5:K$76,"D")</f>
        <v/>
      </c>
      <c r="G36" s="31">
        <f>COUNTIFS(Fixtures!D$5:D$76,B36,Fixtures!J$5:J$76,"L")+COUNTIFS(Fixtures!G$5:G$76,B36,Fixtures!K$5:K$76,"L")</f>
        <v/>
      </c>
      <c r="H36" s="31">
        <f>SUMPRODUCT((Fixtures!D$5:D$76=B36)*(Fixtures!E$5:E$76&lt;&gt;"")*Fixtures!E$5:E$76)+SUMPRODUCT((Fixtures!G$5:G$76=B36)*(Fixtures!F$5:F$76&lt;&gt;"")*Fixtures!F$5:F$76)</f>
        <v/>
      </c>
      <c r="I36" s="31">
        <f>SUMPRODUCT((Fixtures!D$5:D$76=B36)*(Fixtures!F$5:F$76&lt;&gt;"")*Fixtures!F$5:F$76)+SUMPRODUCT((Fixtures!G$5:G$76=B36)*(Fixtures!E$5:E$76&lt;&gt;"")*Fixtures!E$5:E$76)</f>
        <v/>
      </c>
      <c r="J36" s="31">
        <f>H36-I36</f>
        <v/>
      </c>
      <c r="K36" s="31">
        <f>SUMPRODUCT((Fixtures!D$5:D$76=B36)*(Fixtures!E$5:E$76&lt;&gt;"")*(Fixtures!F$5:F$76&lt;&gt;"")*((Fixtures!E$5:E$76&gt;Fixtures!F$5:F$76)*3+(Fixtures!E$5:E$76=Fixtures!F$5:F$76)*2))+SUMPRODUCT((Fixtures!G$5:G$76=B36)*(Fixtures!E$5:E$76&lt;&gt;"")*(Fixtures!F$5:F$76&lt;&gt;"")*((Fixtures!F$5:F$76&gt;Fixtures!E$5:E$76)*3+(Fixtures!E$5:E$76=Fixtures!F$5:F$76)*2))</f>
        <v/>
      </c>
    </row>
    <row r="37">
      <c r="A37" s="35" t="n">
        <v>33</v>
      </c>
      <c r="B37" s="36" t="inlineStr">
        <is>
          <t>France</t>
        </is>
      </c>
      <c r="C37" s="35" t="inlineStr">
        <is>
          <t>Group I</t>
        </is>
      </c>
      <c r="D37" s="35">
        <f>COUNTIFS(Fixtures!D$5:D$76,B37,Fixtures!E$5:E$76,"&lt;&gt;")+COUNTIFS(Fixtures!G$5:G$76,B37,Fixtures!F$5:F$76,"&lt;&gt;")</f>
        <v/>
      </c>
      <c r="E37" s="35">
        <f>COUNTIFS(Fixtures!D$5:D$76,B37,Fixtures!J$5:J$76,"W")+COUNTIFS(Fixtures!G$5:G$76,B37,Fixtures!K$5:K$76,"W")</f>
        <v/>
      </c>
      <c r="F37" s="35">
        <f>COUNTIFS(Fixtures!D$5:D$76,B37,Fixtures!J$5:J$76,"D")+COUNTIFS(Fixtures!G$5:G$76,B37,Fixtures!K$5:K$76,"D")</f>
        <v/>
      </c>
      <c r="G37" s="35">
        <f>COUNTIFS(Fixtures!D$5:D$76,B37,Fixtures!J$5:J$76,"L")+COUNTIFS(Fixtures!G$5:G$76,B37,Fixtures!K$5:K$76,"L")</f>
        <v/>
      </c>
      <c r="H37" s="35">
        <f>SUMPRODUCT((Fixtures!D$5:D$76=B37)*(Fixtures!E$5:E$76&lt;&gt;"")*Fixtures!E$5:E$76)+SUMPRODUCT((Fixtures!G$5:G$76=B37)*(Fixtures!F$5:F$76&lt;&gt;"")*Fixtures!F$5:F$76)</f>
        <v/>
      </c>
      <c r="I37" s="35">
        <f>SUMPRODUCT((Fixtures!D$5:D$76=B37)*(Fixtures!F$5:F$76&lt;&gt;"")*Fixtures!F$5:F$76)+SUMPRODUCT((Fixtures!G$5:G$76=B37)*(Fixtures!E$5:E$76&lt;&gt;"")*Fixtures!E$5:E$76)</f>
        <v/>
      </c>
      <c r="J37" s="35">
        <f>H37-I37</f>
        <v/>
      </c>
      <c r="K37" s="35">
        <f>SUMPRODUCT((Fixtures!D$5:D$76=B37)*(Fixtures!E$5:E$76&lt;&gt;"")*(Fixtures!F$5:F$76&lt;&gt;"")*((Fixtures!E$5:E$76&gt;Fixtures!F$5:F$76)*3+(Fixtures!E$5:E$76=Fixtures!F$5:F$76)*2))+SUMPRODUCT((Fixtures!G$5:G$76=B37)*(Fixtures!E$5:E$76&lt;&gt;"")*(Fixtures!F$5:F$76&lt;&gt;"")*((Fixtures!F$5:F$76&gt;Fixtures!E$5:E$76)*3+(Fixtures!E$5:E$76=Fixtures!F$5:F$76)*2))</f>
        <v/>
      </c>
    </row>
    <row r="38">
      <c r="A38" s="35" t="n">
        <v>34</v>
      </c>
      <c r="B38" s="36" t="inlineStr">
        <is>
          <t>Senegal</t>
        </is>
      </c>
      <c r="C38" s="35" t="inlineStr">
        <is>
          <t>Group I</t>
        </is>
      </c>
      <c r="D38" s="35">
        <f>COUNTIFS(Fixtures!D$5:D$76,B38,Fixtures!E$5:E$76,"&lt;&gt;")+COUNTIFS(Fixtures!G$5:G$76,B38,Fixtures!F$5:F$76,"&lt;&gt;")</f>
        <v/>
      </c>
      <c r="E38" s="35">
        <f>COUNTIFS(Fixtures!D$5:D$76,B38,Fixtures!J$5:J$76,"W")+COUNTIFS(Fixtures!G$5:G$76,B38,Fixtures!K$5:K$76,"W")</f>
        <v/>
      </c>
      <c r="F38" s="35">
        <f>COUNTIFS(Fixtures!D$5:D$76,B38,Fixtures!J$5:J$76,"D")+COUNTIFS(Fixtures!G$5:G$76,B38,Fixtures!K$5:K$76,"D")</f>
        <v/>
      </c>
      <c r="G38" s="35">
        <f>COUNTIFS(Fixtures!D$5:D$76,B38,Fixtures!J$5:J$76,"L")+COUNTIFS(Fixtures!G$5:G$76,B38,Fixtures!K$5:K$76,"L")</f>
        <v/>
      </c>
      <c r="H38" s="35">
        <f>SUMPRODUCT((Fixtures!D$5:D$76=B38)*(Fixtures!E$5:E$76&lt;&gt;"")*Fixtures!E$5:E$76)+SUMPRODUCT((Fixtures!G$5:G$76=B38)*(Fixtures!F$5:F$76&lt;&gt;"")*Fixtures!F$5:F$76)</f>
        <v/>
      </c>
      <c r="I38" s="35">
        <f>SUMPRODUCT((Fixtures!D$5:D$76=B38)*(Fixtures!F$5:F$76&lt;&gt;"")*Fixtures!F$5:F$76)+SUMPRODUCT((Fixtures!G$5:G$76=B38)*(Fixtures!E$5:E$76&lt;&gt;"")*Fixtures!E$5:E$76)</f>
        <v/>
      </c>
      <c r="J38" s="35">
        <f>H38-I38</f>
        <v/>
      </c>
      <c r="K38" s="35">
        <f>SUMPRODUCT((Fixtures!D$5:D$76=B38)*(Fixtures!E$5:E$76&lt;&gt;"")*(Fixtures!F$5:F$76&lt;&gt;"")*((Fixtures!E$5:E$76&gt;Fixtures!F$5:F$76)*3+(Fixtures!E$5:E$76=Fixtures!F$5:F$76)*2))+SUMPRODUCT((Fixtures!G$5:G$76=B38)*(Fixtures!E$5:E$76&lt;&gt;"")*(Fixtures!F$5:F$76&lt;&gt;"")*((Fixtures!F$5:F$76&gt;Fixtures!E$5:E$76)*3+(Fixtures!E$5:E$76=Fixtures!F$5:F$76)*2))</f>
        <v/>
      </c>
    </row>
    <row r="39">
      <c r="A39" s="35" t="n">
        <v>35</v>
      </c>
      <c r="B39" s="36" t="inlineStr">
        <is>
          <t>Iraq</t>
        </is>
      </c>
      <c r="C39" s="35" t="inlineStr">
        <is>
          <t>Group I</t>
        </is>
      </c>
      <c r="D39" s="35">
        <f>COUNTIFS(Fixtures!D$5:D$76,B39,Fixtures!E$5:E$76,"&lt;&gt;")+COUNTIFS(Fixtures!G$5:G$76,B39,Fixtures!F$5:F$76,"&lt;&gt;")</f>
        <v/>
      </c>
      <c r="E39" s="35">
        <f>COUNTIFS(Fixtures!D$5:D$76,B39,Fixtures!J$5:J$76,"W")+COUNTIFS(Fixtures!G$5:G$76,B39,Fixtures!K$5:K$76,"W")</f>
        <v/>
      </c>
      <c r="F39" s="35">
        <f>COUNTIFS(Fixtures!D$5:D$76,B39,Fixtures!J$5:J$76,"D")+COUNTIFS(Fixtures!G$5:G$76,B39,Fixtures!K$5:K$76,"D")</f>
        <v/>
      </c>
      <c r="G39" s="35">
        <f>COUNTIFS(Fixtures!D$5:D$76,B39,Fixtures!J$5:J$76,"L")+COUNTIFS(Fixtures!G$5:G$76,B39,Fixtures!K$5:K$76,"L")</f>
        <v/>
      </c>
      <c r="H39" s="35">
        <f>SUMPRODUCT((Fixtures!D$5:D$76=B39)*(Fixtures!E$5:E$76&lt;&gt;"")*Fixtures!E$5:E$76)+SUMPRODUCT((Fixtures!G$5:G$76=B39)*(Fixtures!F$5:F$76&lt;&gt;"")*Fixtures!F$5:F$76)</f>
        <v/>
      </c>
      <c r="I39" s="35">
        <f>SUMPRODUCT((Fixtures!D$5:D$76=B39)*(Fixtures!F$5:F$76&lt;&gt;"")*Fixtures!F$5:F$76)+SUMPRODUCT((Fixtures!G$5:G$76=B39)*(Fixtures!E$5:E$76&lt;&gt;"")*Fixtures!E$5:E$76)</f>
        <v/>
      </c>
      <c r="J39" s="35">
        <f>H39-I39</f>
        <v/>
      </c>
      <c r="K39" s="35">
        <f>SUMPRODUCT((Fixtures!D$5:D$76=B39)*(Fixtures!E$5:E$76&lt;&gt;"")*(Fixtures!F$5:F$76&lt;&gt;"")*((Fixtures!E$5:E$76&gt;Fixtures!F$5:F$76)*3+(Fixtures!E$5:E$76=Fixtures!F$5:F$76)*2))+SUMPRODUCT((Fixtures!G$5:G$76=B39)*(Fixtures!E$5:E$76&lt;&gt;"")*(Fixtures!F$5:F$76&lt;&gt;"")*((Fixtures!F$5:F$76&gt;Fixtures!E$5:E$76)*3+(Fixtures!E$5:E$76=Fixtures!F$5:F$76)*2))</f>
        <v/>
      </c>
    </row>
    <row r="40">
      <c r="A40" s="35" t="n">
        <v>36</v>
      </c>
      <c r="B40" s="36" t="inlineStr">
        <is>
          <t>Norway</t>
        </is>
      </c>
      <c r="C40" s="35" t="inlineStr">
        <is>
          <t>Group I</t>
        </is>
      </c>
      <c r="D40" s="35">
        <f>COUNTIFS(Fixtures!D$5:D$76,B40,Fixtures!E$5:E$76,"&lt;&gt;")+COUNTIFS(Fixtures!G$5:G$76,B40,Fixtures!F$5:F$76,"&lt;&gt;")</f>
        <v/>
      </c>
      <c r="E40" s="35">
        <f>COUNTIFS(Fixtures!D$5:D$76,B40,Fixtures!J$5:J$76,"W")+COUNTIFS(Fixtures!G$5:G$76,B40,Fixtures!K$5:K$76,"W")</f>
        <v/>
      </c>
      <c r="F40" s="35">
        <f>COUNTIFS(Fixtures!D$5:D$76,B40,Fixtures!J$5:J$76,"D")+COUNTIFS(Fixtures!G$5:G$76,B40,Fixtures!K$5:K$76,"D")</f>
        <v/>
      </c>
      <c r="G40" s="35">
        <f>COUNTIFS(Fixtures!D$5:D$76,B40,Fixtures!J$5:J$76,"L")+COUNTIFS(Fixtures!G$5:G$76,B40,Fixtures!K$5:K$76,"L")</f>
        <v/>
      </c>
      <c r="H40" s="35">
        <f>SUMPRODUCT((Fixtures!D$5:D$76=B40)*(Fixtures!E$5:E$76&lt;&gt;"")*Fixtures!E$5:E$76)+SUMPRODUCT((Fixtures!G$5:G$76=B40)*(Fixtures!F$5:F$76&lt;&gt;"")*Fixtures!F$5:F$76)</f>
        <v/>
      </c>
      <c r="I40" s="35">
        <f>SUMPRODUCT((Fixtures!D$5:D$76=B40)*(Fixtures!F$5:F$76&lt;&gt;"")*Fixtures!F$5:F$76)+SUMPRODUCT((Fixtures!G$5:G$76=B40)*(Fixtures!E$5:E$76&lt;&gt;"")*Fixtures!E$5:E$76)</f>
        <v/>
      </c>
      <c r="J40" s="35">
        <f>H40-I40</f>
        <v/>
      </c>
      <c r="K40" s="35">
        <f>SUMPRODUCT((Fixtures!D$5:D$76=B40)*(Fixtures!E$5:E$76&lt;&gt;"")*(Fixtures!F$5:F$76&lt;&gt;"")*((Fixtures!E$5:E$76&gt;Fixtures!F$5:F$76)*3+(Fixtures!E$5:E$76=Fixtures!F$5:F$76)*2))+SUMPRODUCT((Fixtures!G$5:G$76=B40)*(Fixtures!E$5:E$76&lt;&gt;"")*(Fixtures!F$5:F$76&lt;&gt;"")*((Fixtures!F$5:F$76&gt;Fixtures!E$5:E$76)*3+(Fixtures!E$5:E$76=Fixtures!F$5:F$76)*2))</f>
        <v/>
      </c>
    </row>
    <row r="41">
      <c r="A41" s="37" t="n">
        <v>37</v>
      </c>
      <c r="B41" s="38" t="inlineStr">
        <is>
          <t>Argentina</t>
        </is>
      </c>
      <c r="C41" s="37" t="inlineStr">
        <is>
          <t>Group J</t>
        </is>
      </c>
      <c r="D41" s="37">
        <f>COUNTIFS(Fixtures!D$5:D$76,B41,Fixtures!E$5:E$76,"&lt;&gt;")+COUNTIFS(Fixtures!G$5:G$76,B41,Fixtures!F$5:F$76,"&lt;&gt;")</f>
        <v/>
      </c>
      <c r="E41" s="37">
        <f>COUNTIFS(Fixtures!D$5:D$76,B41,Fixtures!J$5:J$76,"W")+COUNTIFS(Fixtures!G$5:G$76,B41,Fixtures!K$5:K$76,"W")</f>
        <v/>
      </c>
      <c r="F41" s="37">
        <f>COUNTIFS(Fixtures!D$5:D$76,B41,Fixtures!J$5:J$76,"D")+COUNTIFS(Fixtures!G$5:G$76,B41,Fixtures!K$5:K$76,"D")</f>
        <v/>
      </c>
      <c r="G41" s="37">
        <f>COUNTIFS(Fixtures!D$5:D$76,B41,Fixtures!J$5:J$76,"L")+COUNTIFS(Fixtures!G$5:G$76,B41,Fixtures!K$5:K$76,"L")</f>
        <v/>
      </c>
      <c r="H41" s="37">
        <f>SUMPRODUCT((Fixtures!D$5:D$76=B41)*(Fixtures!E$5:E$76&lt;&gt;"")*Fixtures!E$5:E$76)+SUMPRODUCT((Fixtures!G$5:G$76=B41)*(Fixtures!F$5:F$76&lt;&gt;"")*Fixtures!F$5:F$76)</f>
        <v/>
      </c>
      <c r="I41" s="37">
        <f>SUMPRODUCT((Fixtures!D$5:D$76=B41)*(Fixtures!F$5:F$76&lt;&gt;"")*Fixtures!F$5:F$76)+SUMPRODUCT((Fixtures!G$5:G$76=B41)*(Fixtures!E$5:E$76&lt;&gt;"")*Fixtures!E$5:E$76)</f>
        <v/>
      </c>
      <c r="J41" s="37">
        <f>H41-I41</f>
        <v/>
      </c>
      <c r="K41" s="37">
        <f>SUMPRODUCT((Fixtures!D$5:D$76=B41)*(Fixtures!E$5:E$76&lt;&gt;"")*(Fixtures!F$5:F$76&lt;&gt;"")*((Fixtures!E$5:E$76&gt;Fixtures!F$5:F$76)*3+(Fixtures!E$5:E$76=Fixtures!F$5:F$76)*2))+SUMPRODUCT((Fixtures!G$5:G$76=B41)*(Fixtures!E$5:E$76&lt;&gt;"")*(Fixtures!F$5:F$76&lt;&gt;"")*((Fixtures!F$5:F$76&gt;Fixtures!E$5:E$76)*3+(Fixtures!E$5:E$76=Fixtures!F$5:F$76)*2))</f>
        <v/>
      </c>
    </row>
    <row r="42">
      <c r="A42" s="37" t="n">
        <v>38</v>
      </c>
      <c r="B42" s="38" t="inlineStr">
        <is>
          <t>Algeria</t>
        </is>
      </c>
      <c r="C42" s="37" t="inlineStr">
        <is>
          <t>Group J</t>
        </is>
      </c>
      <c r="D42" s="37">
        <f>COUNTIFS(Fixtures!D$5:D$76,B42,Fixtures!E$5:E$76,"&lt;&gt;")+COUNTIFS(Fixtures!G$5:G$76,B42,Fixtures!F$5:F$76,"&lt;&gt;")</f>
        <v/>
      </c>
      <c r="E42" s="37">
        <f>COUNTIFS(Fixtures!D$5:D$76,B42,Fixtures!J$5:J$76,"W")+COUNTIFS(Fixtures!G$5:G$76,B42,Fixtures!K$5:K$76,"W")</f>
        <v/>
      </c>
      <c r="F42" s="37">
        <f>COUNTIFS(Fixtures!D$5:D$76,B42,Fixtures!J$5:J$76,"D")+COUNTIFS(Fixtures!G$5:G$76,B42,Fixtures!K$5:K$76,"D")</f>
        <v/>
      </c>
      <c r="G42" s="37">
        <f>COUNTIFS(Fixtures!D$5:D$76,B42,Fixtures!J$5:J$76,"L")+COUNTIFS(Fixtures!G$5:G$76,B42,Fixtures!K$5:K$76,"L")</f>
        <v/>
      </c>
      <c r="H42" s="37">
        <f>SUMPRODUCT((Fixtures!D$5:D$76=B42)*(Fixtures!E$5:E$76&lt;&gt;"")*Fixtures!E$5:E$76)+SUMPRODUCT((Fixtures!G$5:G$76=B42)*(Fixtures!F$5:F$76&lt;&gt;"")*Fixtures!F$5:F$76)</f>
        <v/>
      </c>
      <c r="I42" s="37">
        <f>SUMPRODUCT((Fixtures!D$5:D$76=B42)*(Fixtures!F$5:F$76&lt;&gt;"")*Fixtures!F$5:F$76)+SUMPRODUCT((Fixtures!G$5:G$76=B42)*(Fixtures!E$5:E$76&lt;&gt;"")*Fixtures!E$5:E$76)</f>
        <v/>
      </c>
      <c r="J42" s="37">
        <f>H42-I42</f>
        <v/>
      </c>
      <c r="K42" s="37">
        <f>SUMPRODUCT((Fixtures!D$5:D$76=B42)*(Fixtures!E$5:E$76&lt;&gt;"")*(Fixtures!F$5:F$76&lt;&gt;"")*((Fixtures!E$5:E$76&gt;Fixtures!F$5:F$76)*3+(Fixtures!E$5:E$76=Fixtures!F$5:F$76)*2))+SUMPRODUCT((Fixtures!G$5:G$76=B42)*(Fixtures!E$5:E$76&lt;&gt;"")*(Fixtures!F$5:F$76&lt;&gt;"")*((Fixtures!F$5:F$76&gt;Fixtures!E$5:E$76)*3+(Fixtures!E$5:E$76=Fixtures!F$5:F$76)*2))</f>
        <v/>
      </c>
    </row>
    <row r="43">
      <c r="A43" s="37" t="n">
        <v>39</v>
      </c>
      <c r="B43" s="38" t="inlineStr">
        <is>
          <t>Austria</t>
        </is>
      </c>
      <c r="C43" s="37" t="inlineStr">
        <is>
          <t>Group J</t>
        </is>
      </c>
      <c r="D43" s="37">
        <f>COUNTIFS(Fixtures!D$5:D$76,B43,Fixtures!E$5:E$76,"&lt;&gt;")+COUNTIFS(Fixtures!G$5:G$76,B43,Fixtures!F$5:F$76,"&lt;&gt;")</f>
        <v/>
      </c>
      <c r="E43" s="37">
        <f>COUNTIFS(Fixtures!D$5:D$76,B43,Fixtures!J$5:J$76,"W")+COUNTIFS(Fixtures!G$5:G$76,B43,Fixtures!K$5:K$76,"W")</f>
        <v/>
      </c>
      <c r="F43" s="37">
        <f>COUNTIFS(Fixtures!D$5:D$76,B43,Fixtures!J$5:J$76,"D")+COUNTIFS(Fixtures!G$5:G$76,B43,Fixtures!K$5:K$76,"D")</f>
        <v/>
      </c>
      <c r="G43" s="37">
        <f>COUNTIFS(Fixtures!D$5:D$76,B43,Fixtures!J$5:J$76,"L")+COUNTIFS(Fixtures!G$5:G$76,B43,Fixtures!K$5:K$76,"L")</f>
        <v/>
      </c>
      <c r="H43" s="37">
        <f>SUMPRODUCT((Fixtures!D$5:D$76=B43)*(Fixtures!E$5:E$76&lt;&gt;"")*Fixtures!E$5:E$76)+SUMPRODUCT((Fixtures!G$5:G$76=B43)*(Fixtures!F$5:F$76&lt;&gt;"")*Fixtures!F$5:F$76)</f>
        <v/>
      </c>
      <c r="I43" s="37">
        <f>SUMPRODUCT((Fixtures!D$5:D$76=B43)*(Fixtures!F$5:F$76&lt;&gt;"")*Fixtures!F$5:F$76)+SUMPRODUCT((Fixtures!G$5:G$76=B43)*(Fixtures!E$5:E$76&lt;&gt;"")*Fixtures!E$5:E$76)</f>
        <v/>
      </c>
      <c r="J43" s="37">
        <f>H43-I43</f>
        <v/>
      </c>
      <c r="K43" s="37">
        <f>SUMPRODUCT((Fixtures!D$5:D$76=B43)*(Fixtures!E$5:E$76&lt;&gt;"")*(Fixtures!F$5:F$76&lt;&gt;"")*((Fixtures!E$5:E$76&gt;Fixtures!F$5:F$76)*3+(Fixtures!E$5:E$76=Fixtures!F$5:F$76)*2))+SUMPRODUCT((Fixtures!G$5:G$76=B43)*(Fixtures!E$5:E$76&lt;&gt;"")*(Fixtures!F$5:F$76&lt;&gt;"")*((Fixtures!F$5:F$76&gt;Fixtures!E$5:E$76)*3+(Fixtures!E$5:E$76=Fixtures!F$5:F$76)*2))</f>
        <v/>
      </c>
    </row>
    <row r="44">
      <c r="A44" s="37" t="n">
        <v>40</v>
      </c>
      <c r="B44" s="38" t="inlineStr">
        <is>
          <t>Jordan</t>
        </is>
      </c>
      <c r="C44" s="37" t="inlineStr">
        <is>
          <t>Group J</t>
        </is>
      </c>
      <c r="D44" s="37">
        <f>COUNTIFS(Fixtures!D$5:D$76,B44,Fixtures!E$5:E$76,"&lt;&gt;")+COUNTIFS(Fixtures!G$5:G$76,B44,Fixtures!F$5:F$76,"&lt;&gt;")</f>
        <v/>
      </c>
      <c r="E44" s="37">
        <f>COUNTIFS(Fixtures!D$5:D$76,B44,Fixtures!J$5:J$76,"W")+COUNTIFS(Fixtures!G$5:G$76,B44,Fixtures!K$5:K$76,"W")</f>
        <v/>
      </c>
      <c r="F44" s="37">
        <f>COUNTIFS(Fixtures!D$5:D$76,B44,Fixtures!J$5:J$76,"D")+COUNTIFS(Fixtures!G$5:G$76,B44,Fixtures!K$5:K$76,"D")</f>
        <v/>
      </c>
      <c r="G44" s="37">
        <f>COUNTIFS(Fixtures!D$5:D$76,B44,Fixtures!J$5:J$76,"L")+COUNTIFS(Fixtures!G$5:G$76,B44,Fixtures!K$5:K$76,"L")</f>
        <v/>
      </c>
      <c r="H44" s="37">
        <f>SUMPRODUCT((Fixtures!D$5:D$76=B44)*(Fixtures!E$5:E$76&lt;&gt;"")*Fixtures!E$5:E$76)+SUMPRODUCT((Fixtures!G$5:G$76=B44)*(Fixtures!F$5:F$76&lt;&gt;"")*Fixtures!F$5:F$76)</f>
        <v/>
      </c>
      <c r="I44" s="37">
        <f>SUMPRODUCT((Fixtures!D$5:D$76=B44)*(Fixtures!F$5:F$76&lt;&gt;"")*Fixtures!F$5:F$76)+SUMPRODUCT((Fixtures!G$5:G$76=B44)*(Fixtures!E$5:E$76&lt;&gt;"")*Fixtures!E$5:E$76)</f>
        <v/>
      </c>
      <c r="J44" s="37">
        <f>H44-I44</f>
        <v/>
      </c>
      <c r="K44" s="37">
        <f>SUMPRODUCT((Fixtures!D$5:D$76=B44)*(Fixtures!E$5:E$76&lt;&gt;"")*(Fixtures!F$5:F$76&lt;&gt;"")*((Fixtures!E$5:E$76&gt;Fixtures!F$5:F$76)*3+(Fixtures!E$5:E$76=Fixtures!F$5:F$76)*2))+SUMPRODUCT((Fixtures!G$5:G$76=B44)*(Fixtures!E$5:E$76&lt;&gt;"")*(Fixtures!F$5:F$76&lt;&gt;"")*((Fixtures!F$5:F$76&gt;Fixtures!E$5:E$76)*3+(Fixtures!E$5:E$76=Fixtures!F$5:F$76)*2))</f>
        <v/>
      </c>
    </row>
    <row r="45">
      <c r="A45" s="41" t="n">
        <v>41</v>
      </c>
      <c r="B45" s="42" t="inlineStr">
        <is>
          <t>Portugal</t>
        </is>
      </c>
      <c r="C45" s="41" t="inlineStr">
        <is>
          <t>Group K</t>
        </is>
      </c>
      <c r="D45" s="41">
        <f>COUNTIFS(Fixtures!D$5:D$76,B45,Fixtures!E$5:E$76,"&lt;&gt;")+COUNTIFS(Fixtures!G$5:G$76,B45,Fixtures!F$5:F$76,"&lt;&gt;")</f>
        <v/>
      </c>
      <c r="E45" s="41">
        <f>COUNTIFS(Fixtures!D$5:D$76,B45,Fixtures!J$5:J$76,"W")+COUNTIFS(Fixtures!G$5:G$76,B45,Fixtures!K$5:K$76,"W")</f>
        <v/>
      </c>
      <c r="F45" s="41">
        <f>COUNTIFS(Fixtures!D$5:D$76,B45,Fixtures!J$5:J$76,"D")+COUNTIFS(Fixtures!G$5:G$76,B45,Fixtures!K$5:K$76,"D")</f>
        <v/>
      </c>
      <c r="G45" s="41">
        <f>COUNTIFS(Fixtures!D$5:D$76,B45,Fixtures!J$5:J$76,"L")+COUNTIFS(Fixtures!G$5:G$76,B45,Fixtures!K$5:K$76,"L")</f>
        <v/>
      </c>
      <c r="H45" s="41">
        <f>SUMPRODUCT((Fixtures!D$5:D$76=B45)*(Fixtures!E$5:E$76&lt;&gt;"")*Fixtures!E$5:E$76)+SUMPRODUCT((Fixtures!G$5:G$76=B45)*(Fixtures!F$5:F$76&lt;&gt;"")*Fixtures!F$5:F$76)</f>
        <v/>
      </c>
      <c r="I45" s="41">
        <f>SUMPRODUCT((Fixtures!D$5:D$76=B45)*(Fixtures!F$5:F$76&lt;&gt;"")*Fixtures!F$5:F$76)+SUMPRODUCT((Fixtures!G$5:G$76=B45)*(Fixtures!E$5:E$76&lt;&gt;"")*Fixtures!E$5:E$76)</f>
        <v/>
      </c>
      <c r="J45" s="41">
        <f>H45-I45</f>
        <v/>
      </c>
      <c r="K45" s="41">
        <f>SUMPRODUCT((Fixtures!D$5:D$76=B45)*(Fixtures!E$5:E$76&lt;&gt;"")*(Fixtures!F$5:F$76&lt;&gt;"")*((Fixtures!E$5:E$76&gt;Fixtures!F$5:F$76)*3+(Fixtures!E$5:E$76=Fixtures!F$5:F$76)*2))+SUMPRODUCT((Fixtures!G$5:G$76=B45)*(Fixtures!E$5:E$76&lt;&gt;"")*(Fixtures!F$5:F$76&lt;&gt;"")*((Fixtures!F$5:F$76&gt;Fixtures!E$5:E$76)*3+(Fixtures!E$5:E$76=Fixtures!F$5:F$76)*2))</f>
        <v/>
      </c>
    </row>
    <row r="46">
      <c r="A46" s="41" t="n">
        <v>42</v>
      </c>
      <c r="B46" s="42" t="inlineStr">
        <is>
          <t>DR Congo</t>
        </is>
      </c>
      <c r="C46" s="41" t="inlineStr">
        <is>
          <t>Group K</t>
        </is>
      </c>
      <c r="D46" s="41">
        <f>COUNTIFS(Fixtures!D$5:D$76,B46,Fixtures!E$5:E$76,"&lt;&gt;")+COUNTIFS(Fixtures!G$5:G$76,B46,Fixtures!F$5:F$76,"&lt;&gt;")</f>
        <v/>
      </c>
      <c r="E46" s="41">
        <f>COUNTIFS(Fixtures!D$5:D$76,B46,Fixtures!J$5:J$76,"W")+COUNTIFS(Fixtures!G$5:G$76,B46,Fixtures!K$5:K$76,"W")</f>
        <v/>
      </c>
      <c r="F46" s="41">
        <f>COUNTIFS(Fixtures!D$5:D$76,B46,Fixtures!J$5:J$76,"D")+COUNTIFS(Fixtures!G$5:G$76,B46,Fixtures!K$5:K$76,"D")</f>
        <v/>
      </c>
      <c r="G46" s="41">
        <f>COUNTIFS(Fixtures!D$5:D$76,B46,Fixtures!J$5:J$76,"L")+COUNTIFS(Fixtures!G$5:G$76,B46,Fixtures!K$5:K$76,"L")</f>
        <v/>
      </c>
      <c r="H46" s="41">
        <f>SUMPRODUCT((Fixtures!D$5:D$76=B46)*(Fixtures!E$5:E$76&lt;&gt;"")*Fixtures!E$5:E$76)+SUMPRODUCT((Fixtures!G$5:G$76=B46)*(Fixtures!F$5:F$76&lt;&gt;"")*Fixtures!F$5:F$76)</f>
        <v/>
      </c>
      <c r="I46" s="41">
        <f>SUMPRODUCT((Fixtures!D$5:D$76=B46)*(Fixtures!F$5:F$76&lt;&gt;"")*Fixtures!F$5:F$76)+SUMPRODUCT((Fixtures!G$5:G$76=B46)*(Fixtures!E$5:E$76&lt;&gt;"")*Fixtures!E$5:E$76)</f>
        <v/>
      </c>
      <c r="J46" s="41">
        <f>H46-I46</f>
        <v/>
      </c>
      <c r="K46" s="41">
        <f>SUMPRODUCT((Fixtures!D$5:D$76=B46)*(Fixtures!E$5:E$76&lt;&gt;"")*(Fixtures!F$5:F$76&lt;&gt;"")*((Fixtures!E$5:E$76&gt;Fixtures!F$5:F$76)*3+(Fixtures!E$5:E$76=Fixtures!F$5:F$76)*2))+SUMPRODUCT((Fixtures!G$5:G$76=B46)*(Fixtures!E$5:E$76&lt;&gt;"")*(Fixtures!F$5:F$76&lt;&gt;"")*((Fixtures!F$5:F$76&gt;Fixtures!E$5:E$76)*3+(Fixtures!E$5:E$76=Fixtures!F$5:F$76)*2))</f>
        <v/>
      </c>
    </row>
    <row r="47">
      <c r="A47" s="41" t="n">
        <v>43</v>
      </c>
      <c r="B47" s="42" t="inlineStr">
        <is>
          <t>Uzbekistan</t>
        </is>
      </c>
      <c r="C47" s="41" t="inlineStr">
        <is>
          <t>Group K</t>
        </is>
      </c>
      <c r="D47" s="41">
        <f>COUNTIFS(Fixtures!D$5:D$76,B47,Fixtures!E$5:E$76,"&lt;&gt;")+COUNTIFS(Fixtures!G$5:G$76,B47,Fixtures!F$5:F$76,"&lt;&gt;")</f>
        <v/>
      </c>
      <c r="E47" s="41">
        <f>COUNTIFS(Fixtures!D$5:D$76,B47,Fixtures!J$5:J$76,"W")+COUNTIFS(Fixtures!G$5:G$76,B47,Fixtures!K$5:K$76,"W")</f>
        <v/>
      </c>
      <c r="F47" s="41">
        <f>COUNTIFS(Fixtures!D$5:D$76,B47,Fixtures!J$5:J$76,"D")+COUNTIFS(Fixtures!G$5:G$76,B47,Fixtures!K$5:K$76,"D")</f>
        <v/>
      </c>
      <c r="G47" s="41">
        <f>COUNTIFS(Fixtures!D$5:D$76,B47,Fixtures!J$5:J$76,"L")+COUNTIFS(Fixtures!G$5:G$76,B47,Fixtures!K$5:K$76,"L")</f>
        <v/>
      </c>
      <c r="H47" s="41">
        <f>SUMPRODUCT((Fixtures!D$5:D$76=B47)*(Fixtures!E$5:E$76&lt;&gt;"")*Fixtures!E$5:E$76)+SUMPRODUCT((Fixtures!G$5:G$76=B47)*(Fixtures!F$5:F$76&lt;&gt;"")*Fixtures!F$5:F$76)</f>
        <v/>
      </c>
      <c r="I47" s="41">
        <f>SUMPRODUCT((Fixtures!D$5:D$76=B47)*(Fixtures!F$5:F$76&lt;&gt;"")*Fixtures!F$5:F$76)+SUMPRODUCT((Fixtures!G$5:G$76=B47)*(Fixtures!E$5:E$76&lt;&gt;"")*Fixtures!E$5:E$76)</f>
        <v/>
      </c>
      <c r="J47" s="41">
        <f>H47-I47</f>
        <v/>
      </c>
      <c r="K47" s="41">
        <f>SUMPRODUCT((Fixtures!D$5:D$76=B47)*(Fixtures!E$5:E$76&lt;&gt;"")*(Fixtures!F$5:F$76&lt;&gt;"")*((Fixtures!E$5:E$76&gt;Fixtures!F$5:F$76)*3+(Fixtures!E$5:E$76=Fixtures!F$5:F$76)*2))+SUMPRODUCT((Fixtures!G$5:G$76=B47)*(Fixtures!E$5:E$76&lt;&gt;"")*(Fixtures!F$5:F$76&lt;&gt;"")*((Fixtures!F$5:F$76&gt;Fixtures!E$5:E$76)*3+(Fixtures!E$5:E$76=Fixtures!F$5:F$76)*2))</f>
        <v/>
      </c>
    </row>
    <row r="48">
      <c r="A48" s="41" t="n">
        <v>44</v>
      </c>
      <c r="B48" s="42" t="inlineStr">
        <is>
          <t>Colombia</t>
        </is>
      </c>
      <c r="C48" s="41" t="inlineStr">
        <is>
          <t>Group K</t>
        </is>
      </c>
      <c r="D48" s="41">
        <f>COUNTIFS(Fixtures!D$5:D$76,B48,Fixtures!E$5:E$76,"&lt;&gt;")+COUNTIFS(Fixtures!G$5:G$76,B48,Fixtures!F$5:F$76,"&lt;&gt;")</f>
        <v/>
      </c>
      <c r="E48" s="41">
        <f>COUNTIFS(Fixtures!D$5:D$76,B48,Fixtures!J$5:J$76,"W")+COUNTIFS(Fixtures!G$5:G$76,B48,Fixtures!K$5:K$76,"W")</f>
        <v/>
      </c>
      <c r="F48" s="41">
        <f>COUNTIFS(Fixtures!D$5:D$76,B48,Fixtures!J$5:J$76,"D")+COUNTIFS(Fixtures!G$5:G$76,B48,Fixtures!K$5:K$76,"D")</f>
        <v/>
      </c>
      <c r="G48" s="41">
        <f>COUNTIFS(Fixtures!D$5:D$76,B48,Fixtures!J$5:J$76,"L")+COUNTIFS(Fixtures!G$5:G$76,B48,Fixtures!K$5:K$76,"L")</f>
        <v/>
      </c>
      <c r="H48" s="41">
        <f>SUMPRODUCT((Fixtures!D$5:D$76=B48)*(Fixtures!E$5:E$76&lt;&gt;"")*Fixtures!E$5:E$76)+SUMPRODUCT((Fixtures!G$5:G$76=B48)*(Fixtures!F$5:F$76&lt;&gt;"")*Fixtures!F$5:F$76)</f>
        <v/>
      </c>
      <c r="I48" s="41">
        <f>SUMPRODUCT((Fixtures!D$5:D$76=B48)*(Fixtures!F$5:F$76&lt;&gt;"")*Fixtures!F$5:F$76)+SUMPRODUCT((Fixtures!G$5:G$76=B48)*(Fixtures!E$5:E$76&lt;&gt;"")*Fixtures!E$5:E$76)</f>
        <v/>
      </c>
      <c r="J48" s="41">
        <f>H48-I48</f>
        <v/>
      </c>
      <c r="K48" s="41">
        <f>SUMPRODUCT((Fixtures!D$5:D$76=B48)*(Fixtures!E$5:E$76&lt;&gt;"")*(Fixtures!F$5:F$76&lt;&gt;"")*((Fixtures!E$5:E$76&gt;Fixtures!F$5:F$76)*3+(Fixtures!E$5:E$76=Fixtures!F$5:F$76)*2))+SUMPRODUCT((Fixtures!G$5:G$76=B48)*(Fixtures!E$5:E$76&lt;&gt;"")*(Fixtures!F$5:F$76&lt;&gt;"")*((Fixtures!F$5:F$76&gt;Fixtures!E$5:E$76)*3+(Fixtures!E$5:E$76=Fixtures!F$5:F$76)*2))</f>
        <v/>
      </c>
    </row>
    <row r="49">
      <c r="A49" s="39" t="n">
        <v>45</v>
      </c>
      <c r="B49" s="40" t="inlineStr">
        <is>
          <t>England</t>
        </is>
      </c>
      <c r="C49" s="39" t="inlineStr">
        <is>
          <t>Group L</t>
        </is>
      </c>
      <c r="D49" s="39">
        <f>COUNTIFS(Fixtures!D$5:D$76,B49,Fixtures!E$5:E$76,"&lt;&gt;")+COUNTIFS(Fixtures!G$5:G$76,B49,Fixtures!F$5:F$76,"&lt;&gt;")</f>
        <v/>
      </c>
      <c r="E49" s="39">
        <f>COUNTIFS(Fixtures!D$5:D$76,B49,Fixtures!J$5:J$76,"W")+COUNTIFS(Fixtures!G$5:G$76,B49,Fixtures!K$5:K$76,"W")</f>
        <v/>
      </c>
      <c r="F49" s="39">
        <f>COUNTIFS(Fixtures!D$5:D$76,B49,Fixtures!J$5:J$76,"D")+COUNTIFS(Fixtures!G$5:G$76,B49,Fixtures!K$5:K$76,"D")</f>
        <v/>
      </c>
      <c r="G49" s="39">
        <f>COUNTIFS(Fixtures!D$5:D$76,B49,Fixtures!J$5:J$76,"L")+COUNTIFS(Fixtures!G$5:G$76,B49,Fixtures!K$5:K$76,"L")</f>
        <v/>
      </c>
      <c r="H49" s="39">
        <f>SUMPRODUCT((Fixtures!D$5:D$76=B49)*(Fixtures!E$5:E$76&lt;&gt;"")*Fixtures!E$5:E$76)+SUMPRODUCT((Fixtures!G$5:G$76=B49)*(Fixtures!F$5:F$76&lt;&gt;"")*Fixtures!F$5:F$76)</f>
        <v/>
      </c>
      <c r="I49" s="39">
        <f>SUMPRODUCT((Fixtures!D$5:D$76=B49)*(Fixtures!F$5:F$76&lt;&gt;"")*Fixtures!F$5:F$76)+SUMPRODUCT((Fixtures!G$5:G$76=B49)*(Fixtures!E$5:E$76&lt;&gt;"")*Fixtures!E$5:E$76)</f>
        <v/>
      </c>
      <c r="J49" s="39">
        <f>H49-I49</f>
        <v/>
      </c>
      <c r="K49" s="39">
        <f>SUMPRODUCT((Fixtures!D$5:D$76=B49)*(Fixtures!E$5:E$76&lt;&gt;"")*(Fixtures!F$5:F$76&lt;&gt;"")*((Fixtures!E$5:E$76&gt;Fixtures!F$5:F$76)*3+(Fixtures!E$5:E$76=Fixtures!F$5:F$76)*2))+SUMPRODUCT((Fixtures!G$5:G$76=B49)*(Fixtures!E$5:E$76&lt;&gt;"")*(Fixtures!F$5:F$76&lt;&gt;"")*((Fixtures!F$5:F$76&gt;Fixtures!E$5:E$76)*3+(Fixtures!E$5:E$76=Fixtures!F$5:F$76)*2))</f>
        <v/>
      </c>
    </row>
    <row r="50">
      <c r="A50" s="39" t="n">
        <v>46</v>
      </c>
      <c r="B50" s="40" t="inlineStr">
        <is>
          <t>Croatia</t>
        </is>
      </c>
      <c r="C50" s="39" t="inlineStr">
        <is>
          <t>Group L</t>
        </is>
      </c>
      <c r="D50" s="39">
        <f>COUNTIFS(Fixtures!D$5:D$76,B50,Fixtures!E$5:E$76,"&lt;&gt;")+COUNTIFS(Fixtures!G$5:G$76,B50,Fixtures!F$5:F$76,"&lt;&gt;")</f>
        <v/>
      </c>
      <c r="E50" s="39">
        <f>COUNTIFS(Fixtures!D$5:D$76,B50,Fixtures!J$5:J$76,"W")+COUNTIFS(Fixtures!G$5:G$76,B50,Fixtures!K$5:K$76,"W")</f>
        <v/>
      </c>
      <c r="F50" s="39">
        <f>COUNTIFS(Fixtures!D$5:D$76,B50,Fixtures!J$5:J$76,"D")+COUNTIFS(Fixtures!G$5:G$76,B50,Fixtures!K$5:K$76,"D")</f>
        <v/>
      </c>
      <c r="G50" s="39">
        <f>COUNTIFS(Fixtures!D$5:D$76,B50,Fixtures!J$5:J$76,"L")+COUNTIFS(Fixtures!G$5:G$76,B50,Fixtures!K$5:K$76,"L")</f>
        <v/>
      </c>
      <c r="H50" s="39">
        <f>SUMPRODUCT((Fixtures!D$5:D$76=B50)*(Fixtures!E$5:E$76&lt;&gt;"")*Fixtures!E$5:E$76)+SUMPRODUCT((Fixtures!G$5:G$76=B50)*(Fixtures!F$5:F$76&lt;&gt;"")*Fixtures!F$5:F$76)</f>
        <v/>
      </c>
      <c r="I50" s="39">
        <f>SUMPRODUCT((Fixtures!D$5:D$76=B50)*(Fixtures!F$5:F$76&lt;&gt;"")*Fixtures!F$5:F$76)+SUMPRODUCT((Fixtures!G$5:G$76=B50)*(Fixtures!E$5:E$76&lt;&gt;"")*Fixtures!E$5:E$76)</f>
        <v/>
      </c>
      <c r="J50" s="39">
        <f>H50-I50</f>
        <v/>
      </c>
      <c r="K50" s="39">
        <f>SUMPRODUCT((Fixtures!D$5:D$76=B50)*(Fixtures!E$5:E$76&lt;&gt;"")*(Fixtures!F$5:F$76&lt;&gt;"")*((Fixtures!E$5:E$76&gt;Fixtures!F$5:F$76)*3+(Fixtures!E$5:E$76=Fixtures!F$5:F$76)*2))+SUMPRODUCT((Fixtures!G$5:G$76=B50)*(Fixtures!E$5:E$76&lt;&gt;"")*(Fixtures!F$5:F$76&lt;&gt;"")*((Fixtures!F$5:F$76&gt;Fixtures!E$5:E$76)*3+(Fixtures!E$5:E$76=Fixtures!F$5:F$76)*2))</f>
        <v/>
      </c>
    </row>
    <row r="51">
      <c r="A51" s="39" t="n">
        <v>47</v>
      </c>
      <c r="B51" s="40" t="inlineStr">
        <is>
          <t>Ghana</t>
        </is>
      </c>
      <c r="C51" s="39" t="inlineStr">
        <is>
          <t>Group L</t>
        </is>
      </c>
      <c r="D51" s="39">
        <f>COUNTIFS(Fixtures!D$5:D$76,B51,Fixtures!E$5:E$76,"&lt;&gt;")+COUNTIFS(Fixtures!G$5:G$76,B51,Fixtures!F$5:F$76,"&lt;&gt;")</f>
        <v/>
      </c>
      <c r="E51" s="39">
        <f>COUNTIFS(Fixtures!D$5:D$76,B51,Fixtures!J$5:J$76,"W")+COUNTIFS(Fixtures!G$5:G$76,B51,Fixtures!K$5:K$76,"W")</f>
        <v/>
      </c>
      <c r="F51" s="39">
        <f>COUNTIFS(Fixtures!D$5:D$76,B51,Fixtures!J$5:J$76,"D")+COUNTIFS(Fixtures!G$5:G$76,B51,Fixtures!K$5:K$76,"D")</f>
        <v/>
      </c>
      <c r="G51" s="39">
        <f>COUNTIFS(Fixtures!D$5:D$76,B51,Fixtures!J$5:J$76,"L")+COUNTIFS(Fixtures!G$5:G$76,B51,Fixtures!K$5:K$76,"L")</f>
        <v/>
      </c>
      <c r="H51" s="39">
        <f>SUMPRODUCT((Fixtures!D$5:D$76=B51)*(Fixtures!E$5:E$76&lt;&gt;"")*Fixtures!E$5:E$76)+SUMPRODUCT((Fixtures!G$5:G$76=B51)*(Fixtures!F$5:F$76&lt;&gt;"")*Fixtures!F$5:F$76)</f>
        <v/>
      </c>
      <c r="I51" s="39">
        <f>SUMPRODUCT((Fixtures!D$5:D$76=B51)*(Fixtures!F$5:F$76&lt;&gt;"")*Fixtures!F$5:F$76)+SUMPRODUCT((Fixtures!G$5:G$76=B51)*(Fixtures!E$5:E$76&lt;&gt;"")*Fixtures!E$5:E$76)</f>
        <v/>
      </c>
      <c r="J51" s="39">
        <f>H51-I51</f>
        <v/>
      </c>
      <c r="K51" s="39">
        <f>SUMPRODUCT((Fixtures!D$5:D$76=B51)*(Fixtures!E$5:E$76&lt;&gt;"")*(Fixtures!F$5:F$76&lt;&gt;"")*((Fixtures!E$5:E$76&gt;Fixtures!F$5:F$76)*3+(Fixtures!E$5:E$76=Fixtures!F$5:F$76)*2))+SUMPRODUCT((Fixtures!G$5:G$76=B51)*(Fixtures!E$5:E$76&lt;&gt;"")*(Fixtures!F$5:F$76&lt;&gt;"")*((Fixtures!F$5:F$76&gt;Fixtures!E$5:E$76)*3+(Fixtures!E$5:E$76=Fixtures!F$5:F$76)*2))</f>
        <v/>
      </c>
    </row>
    <row r="52">
      <c r="A52" s="39" t="n">
        <v>48</v>
      </c>
      <c r="B52" s="40" t="inlineStr">
        <is>
          <t>Panama</t>
        </is>
      </c>
      <c r="C52" s="39" t="inlineStr">
        <is>
          <t>Group L</t>
        </is>
      </c>
      <c r="D52" s="39">
        <f>COUNTIFS(Fixtures!D$5:D$76,B52,Fixtures!E$5:E$76,"&lt;&gt;")+COUNTIFS(Fixtures!G$5:G$76,B52,Fixtures!F$5:F$76,"&lt;&gt;")</f>
        <v/>
      </c>
      <c r="E52" s="39">
        <f>COUNTIFS(Fixtures!D$5:D$76,B52,Fixtures!J$5:J$76,"W")+COUNTIFS(Fixtures!G$5:G$76,B52,Fixtures!K$5:K$76,"W")</f>
        <v/>
      </c>
      <c r="F52" s="39">
        <f>COUNTIFS(Fixtures!D$5:D$76,B52,Fixtures!J$5:J$76,"D")+COUNTIFS(Fixtures!G$5:G$76,B52,Fixtures!K$5:K$76,"D")</f>
        <v/>
      </c>
      <c r="G52" s="39">
        <f>COUNTIFS(Fixtures!D$5:D$76,B52,Fixtures!J$5:J$76,"L")+COUNTIFS(Fixtures!G$5:G$76,B52,Fixtures!K$5:K$76,"L")</f>
        <v/>
      </c>
      <c r="H52" s="39">
        <f>SUMPRODUCT((Fixtures!D$5:D$76=B52)*(Fixtures!E$5:E$76&lt;&gt;"")*Fixtures!E$5:E$76)+SUMPRODUCT((Fixtures!G$5:G$76=B52)*(Fixtures!F$5:F$76&lt;&gt;"")*Fixtures!F$5:F$76)</f>
        <v/>
      </c>
      <c r="I52" s="39">
        <f>SUMPRODUCT((Fixtures!D$5:D$76=B52)*(Fixtures!F$5:F$76&lt;&gt;"")*Fixtures!F$5:F$76)+SUMPRODUCT((Fixtures!G$5:G$76=B52)*(Fixtures!E$5:E$76&lt;&gt;"")*Fixtures!E$5:E$76)</f>
        <v/>
      </c>
      <c r="J52" s="39">
        <f>H52-I52</f>
        <v/>
      </c>
      <c r="K52" s="39">
        <f>SUMPRODUCT((Fixtures!D$5:D$76=B52)*(Fixtures!E$5:E$76&lt;&gt;"")*(Fixtures!F$5:F$76&lt;&gt;"")*((Fixtures!E$5:E$76&gt;Fixtures!F$5:F$76)*3+(Fixtures!E$5:E$76=Fixtures!F$5:F$76)*2))+SUMPRODUCT((Fixtures!G$5:G$76=B52)*(Fixtures!E$5:E$76&lt;&gt;"")*(Fixtures!F$5:F$76&lt;&gt;"")*((Fixtures!F$5:F$76&gt;Fixtures!E$5:E$76)*3+(Fixtures!E$5:E$76=Fixtures!F$5:F$76)*2)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2" customWidth="1" min="4" max="4"/>
    <col width="6" customWidth="1" min="5" max="5"/>
    <col width="7" customWidth="1" min="6" max="6"/>
    <col width="2" customWidth="1" min="7" max="7"/>
    <col hidden="1" width="22" customWidth="1" min="8" max="8"/>
    <col hidden="1" width="22" customWidth="1" min="9" max="9"/>
    <col hidden="1" width="8" customWidth="1" min="10" max="10"/>
    <col hidden="1" width="6" customWidth="1" min="11" max="11"/>
    <col hidden="1" width="6" customWidth="1" min="12" max="12"/>
    <col hidden="1" width="5" customWidth="1" min="13" max="13"/>
    <col hidden="1" width="5" customWidth="1" min="14" max="14"/>
  </cols>
  <sheetData>
    <row r="1">
      <c r="A1" s="1" t="inlineStr">
        <is>
          <t>SWEEPSTAKE LEADERBOARD</t>
        </is>
      </c>
    </row>
    <row r="2">
      <c r="A2" s="16" t="inlineStr">
        <is>
          <t>Auto-ranked — highest points always shown first.</t>
        </is>
      </c>
    </row>
    <row r="4">
      <c r="A4" s="3" t="inlineStr">
        <is>
          <t>Rank</t>
        </is>
      </c>
      <c r="B4" s="3" t="inlineStr">
        <is>
          <t>Participant</t>
        </is>
      </c>
      <c r="C4" s="3" t="inlineStr">
        <is>
          <t>Team(s)</t>
        </is>
      </c>
      <c r="D4" s="3" t="inlineStr">
        <is>
          <t>Total Points</t>
        </is>
      </c>
      <c r="E4" s="3" t="inlineStr">
        <is>
          <t>Wins</t>
        </is>
      </c>
      <c r="F4" s="3" t="inlineStr">
        <is>
          <t>Draws</t>
        </is>
      </c>
      <c r="H4" s="45" t="inlineStr">
        <is>
          <t>Participant</t>
        </is>
      </c>
      <c r="I4" s="45" t="inlineStr">
        <is>
          <t>Team</t>
        </is>
      </c>
      <c r="J4" s="45" t="inlineStr">
        <is>
          <t>Points</t>
        </is>
      </c>
      <c r="K4" s="45" t="inlineStr">
        <is>
          <t>Wins</t>
        </is>
      </c>
      <c r="L4" s="45" t="inlineStr">
        <is>
          <t>Draws</t>
        </is>
      </c>
      <c r="M4" s="45" t="inlineStr">
        <is>
          <t>GD</t>
        </is>
      </c>
      <c r="N4" s="45" t="inlineStr">
        <is>
          <t>Rank</t>
        </is>
      </c>
    </row>
    <row r="5">
      <c r="A5" s="46" t="n">
        <v>1</v>
      </c>
      <c r="B5" s="47">
        <f>IFERROR(INDEX($H$5:$H$104,MATCH(1,$N$5:$N$104,0)),"")</f>
        <v/>
      </c>
      <c r="C5" s="47">
        <f>IFERROR(INDEX($I$5:$I$104,MATCH(1,$N$5:$N$104,0)),"")</f>
        <v/>
      </c>
      <c r="D5" s="46">
        <f>IFERROR(INDEX($J$5:$J$104,MATCH(1,$N$5:$N$104,0)),"")</f>
        <v/>
      </c>
      <c r="E5" s="46">
        <f>IFERROR(INDEX($K$5:$K$104,MATCH(1,$N$5:$N$104,0)),"")</f>
        <v/>
      </c>
      <c r="F5" s="46">
        <f>IFERROR(INDEX($L$5:$L$104,MATCH(1,$N$5:$N$104,0)),"")</f>
        <v/>
      </c>
      <c r="H5">
        <f>IF(Allocation!B6="","",Allocation!B6)</f>
        <v/>
      </c>
      <c r="I5">
        <f>IF(Allocation!C6="","",Allocation!C6)</f>
        <v/>
      </c>
      <c r="J5">
        <f>IF(I5="","",SUMPRODUCT((Fixtures!D$5:D$76=I5)*(Fixtures!E$5:E$76&lt;&gt;"")*(Fixtures!F$5:F$76&lt;&gt;"")*((Fixtures!E$5:E$76&gt;Fixtures!F$5:F$76)*3+(Fixtures!E$5:E$76=Fixtures!F$5:F$76)*2))+SUMPRODUCT((Fixtures!G$5:G$76=I5)*(Fixtures!E$5:E$76&lt;&gt;"")*(Fixtures!F$5:F$76&lt;&gt;"")*((Fixtures!F$5:F$76&gt;Fixtures!E$5:E$76)*3+(Fixtures!E$5:E$76=Fixtures!F$5:F$76)*2)))</f>
        <v/>
      </c>
      <c r="K5">
        <f>IF(I5="","",COUNTIFS(Fixtures!D$5:D$76,I5,Fixtures!J$5:J$76,"W")+COUNTIFS(Fixtures!G$5:G$76,I5,Fixtures!K$5:K$76,"W"))</f>
        <v/>
      </c>
      <c r="L5">
        <f>IF(I5="","",COUNTIFS(Fixtures!D$5:D$76,I5,Fixtures!J$5:J$76,"D")+COUNTIFS(Fixtures!G$5:G$76,I5,Fixtures!K$5:K$76,"D"))</f>
        <v/>
      </c>
      <c r="M5">
        <f>IF(I5="","",SUMPRODUCT((Fixtures!D$5:D$76=I5)*(Fixtures!E$5:E$76&lt;&gt;"")*(Fixtures!F$5:F$76&lt;&gt;"")*(Fixtures!E$5:E$76-Fixtures!F$5:F$76))+SUMPRODUCT((Fixtures!G$5:G$76=I5)*(Fixtures!E$5:E$76&lt;&gt;"")*(Fixtures!F$5:F$76&lt;&gt;"")*(Fixtures!F$5:F$76-Fixtures!E$5:E$76)))</f>
        <v/>
      </c>
      <c r="N5">
        <f>IF(H5="","",COUNTIFS($J$5:$J$104,"&gt;"&amp;J5,$H$5:$H$104,"&lt;&gt;")+COUNTIFS($J$5:$J5,J5,$H$5:$H5,"&lt;&gt;"))</f>
        <v/>
      </c>
    </row>
    <row r="6">
      <c r="A6" s="48" t="n">
        <v>2</v>
      </c>
      <c r="B6" s="49">
        <f>IFERROR(INDEX($H$5:$H$104,MATCH(2,$N$5:$N$104,0)),"")</f>
        <v/>
      </c>
      <c r="C6" s="49">
        <f>IFERROR(INDEX($I$5:$I$104,MATCH(2,$N$5:$N$104,0)),"")</f>
        <v/>
      </c>
      <c r="D6" s="48">
        <f>IFERROR(INDEX($J$5:$J$104,MATCH(2,$N$5:$N$104,0)),"")</f>
        <v/>
      </c>
      <c r="E6" s="48">
        <f>IFERROR(INDEX($K$5:$K$104,MATCH(2,$N$5:$N$104,0)),"")</f>
        <v/>
      </c>
      <c r="F6" s="48">
        <f>IFERROR(INDEX($L$5:$L$104,MATCH(2,$N$5:$N$104,0)),"")</f>
        <v/>
      </c>
      <c r="H6">
        <f>IF(Allocation!B7="","",Allocation!B7)</f>
        <v/>
      </c>
      <c r="I6">
        <f>IF(Allocation!C7="","",Allocation!C7)</f>
        <v/>
      </c>
      <c r="J6">
        <f>IF(I6="","",SUMPRODUCT((Fixtures!D$5:D$76=I6)*(Fixtures!E$5:E$76&lt;&gt;"")*(Fixtures!F$5:F$76&lt;&gt;"")*((Fixtures!E$5:E$76&gt;Fixtures!F$5:F$76)*3+(Fixtures!E$5:E$76=Fixtures!F$5:F$76)*2))+SUMPRODUCT((Fixtures!G$5:G$76=I6)*(Fixtures!E$5:E$76&lt;&gt;"")*(Fixtures!F$5:F$76&lt;&gt;"")*((Fixtures!F$5:F$76&gt;Fixtures!E$5:E$76)*3+(Fixtures!E$5:E$76=Fixtures!F$5:F$76)*2)))</f>
        <v/>
      </c>
      <c r="K6">
        <f>IF(I6="","",COUNTIFS(Fixtures!D$5:D$76,I6,Fixtures!J$5:J$76,"W")+COUNTIFS(Fixtures!G$5:G$76,I6,Fixtures!K$5:K$76,"W"))</f>
        <v/>
      </c>
      <c r="L6">
        <f>IF(I6="","",COUNTIFS(Fixtures!D$5:D$76,I6,Fixtures!J$5:J$76,"D")+COUNTIFS(Fixtures!G$5:G$76,I6,Fixtures!K$5:K$76,"D"))</f>
        <v/>
      </c>
      <c r="M6">
        <f>IF(I6="","",SUMPRODUCT((Fixtures!D$5:D$76=I6)*(Fixtures!E$5:E$76&lt;&gt;"")*(Fixtures!F$5:F$76&lt;&gt;"")*(Fixtures!E$5:E$76-Fixtures!F$5:F$76))+SUMPRODUCT((Fixtures!G$5:G$76=I6)*(Fixtures!E$5:E$76&lt;&gt;"")*(Fixtures!F$5:F$76&lt;&gt;"")*(Fixtures!F$5:F$76-Fixtures!E$5:E$76)))</f>
        <v/>
      </c>
      <c r="N6">
        <f>IF(H6="","",COUNTIFS($J$5:$J$104,"&gt;"&amp;J6,$H$5:$H$104,"&lt;&gt;")+COUNTIFS($J$5:$J6,J6,$H$5:$H6,"&lt;&gt;"))</f>
        <v/>
      </c>
    </row>
    <row r="7">
      <c r="A7" s="50" t="n">
        <v>3</v>
      </c>
      <c r="B7" s="51">
        <f>IFERROR(INDEX($H$5:$H$104,MATCH(3,$N$5:$N$104,0)),"")</f>
        <v/>
      </c>
      <c r="C7" s="51">
        <f>IFERROR(INDEX($I$5:$I$104,MATCH(3,$N$5:$N$104,0)),"")</f>
        <v/>
      </c>
      <c r="D7" s="50">
        <f>IFERROR(INDEX($J$5:$J$104,MATCH(3,$N$5:$N$104,0)),"")</f>
        <v/>
      </c>
      <c r="E7" s="50">
        <f>IFERROR(INDEX($K$5:$K$104,MATCH(3,$N$5:$N$104,0)),"")</f>
        <v/>
      </c>
      <c r="F7" s="50">
        <f>IFERROR(INDEX($L$5:$L$104,MATCH(3,$N$5:$N$104,0)),"")</f>
        <v/>
      </c>
      <c r="H7">
        <f>IF(Allocation!B8="","",Allocation!B8)</f>
        <v/>
      </c>
      <c r="I7">
        <f>IF(Allocation!C8="","",Allocation!C8)</f>
        <v/>
      </c>
      <c r="J7">
        <f>IF(I7="","",SUMPRODUCT((Fixtures!D$5:D$76=I7)*(Fixtures!E$5:E$76&lt;&gt;"")*(Fixtures!F$5:F$76&lt;&gt;"")*((Fixtures!E$5:E$76&gt;Fixtures!F$5:F$76)*3+(Fixtures!E$5:E$76=Fixtures!F$5:F$76)*2))+SUMPRODUCT((Fixtures!G$5:G$76=I7)*(Fixtures!E$5:E$76&lt;&gt;"")*(Fixtures!F$5:F$76&lt;&gt;"")*((Fixtures!F$5:F$76&gt;Fixtures!E$5:E$76)*3+(Fixtures!E$5:E$76=Fixtures!F$5:F$76)*2)))</f>
        <v/>
      </c>
      <c r="K7">
        <f>IF(I7="","",COUNTIFS(Fixtures!D$5:D$76,I7,Fixtures!J$5:J$76,"W")+COUNTIFS(Fixtures!G$5:G$76,I7,Fixtures!K$5:K$76,"W"))</f>
        <v/>
      </c>
      <c r="L7">
        <f>IF(I7="","",COUNTIFS(Fixtures!D$5:D$76,I7,Fixtures!J$5:J$76,"D")+COUNTIFS(Fixtures!G$5:G$76,I7,Fixtures!K$5:K$76,"D"))</f>
        <v/>
      </c>
      <c r="M7">
        <f>IF(I7="","",SUMPRODUCT((Fixtures!D$5:D$76=I7)*(Fixtures!E$5:E$76&lt;&gt;"")*(Fixtures!F$5:F$76&lt;&gt;"")*(Fixtures!E$5:E$76-Fixtures!F$5:F$76))+SUMPRODUCT((Fixtures!G$5:G$76=I7)*(Fixtures!E$5:E$76&lt;&gt;"")*(Fixtures!F$5:F$76&lt;&gt;"")*(Fixtures!F$5:F$76-Fixtures!E$5:E$76)))</f>
        <v/>
      </c>
      <c r="N7">
        <f>IF(H7="","",COUNTIFS($J$5:$J$104,"&gt;"&amp;J7,$H$5:$H$104,"&lt;&gt;")+COUNTIFS($J$5:$J7,J7,$H$5:$H7,"&lt;&gt;"))</f>
        <v/>
      </c>
    </row>
    <row r="8">
      <c r="A8" s="43" t="n">
        <v>4</v>
      </c>
      <c r="B8" s="44">
        <f>IFERROR(INDEX($H$5:$H$104,MATCH(4,$N$5:$N$104,0)),"")</f>
        <v/>
      </c>
      <c r="C8" s="44">
        <f>IFERROR(INDEX($I$5:$I$104,MATCH(4,$N$5:$N$104,0)),"")</f>
        <v/>
      </c>
      <c r="D8" s="43">
        <f>IFERROR(INDEX($J$5:$J$104,MATCH(4,$N$5:$N$104,0)),"")</f>
        <v/>
      </c>
      <c r="E8" s="43">
        <f>IFERROR(INDEX($K$5:$K$104,MATCH(4,$N$5:$N$104,0)),"")</f>
        <v/>
      </c>
      <c r="F8" s="43">
        <f>IFERROR(INDEX($L$5:$L$104,MATCH(4,$N$5:$N$104,0)),"")</f>
        <v/>
      </c>
      <c r="H8">
        <f>IF(Allocation!B9="","",Allocation!B9)</f>
        <v/>
      </c>
      <c r="I8">
        <f>IF(Allocation!C9="","",Allocation!C9)</f>
        <v/>
      </c>
      <c r="J8">
        <f>IF(I8="","",SUMPRODUCT((Fixtures!D$5:D$76=I8)*(Fixtures!E$5:E$76&lt;&gt;"")*(Fixtures!F$5:F$76&lt;&gt;"")*((Fixtures!E$5:E$76&gt;Fixtures!F$5:F$76)*3+(Fixtures!E$5:E$76=Fixtures!F$5:F$76)*2))+SUMPRODUCT((Fixtures!G$5:G$76=I8)*(Fixtures!E$5:E$76&lt;&gt;"")*(Fixtures!F$5:F$76&lt;&gt;"")*((Fixtures!F$5:F$76&gt;Fixtures!E$5:E$76)*3+(Fixtures!E$5:E$76=Fixtures!F$5:F$76)*2)))</f>
        <v/>
      </c>
      <c r="K8">
        <f>IF(I8="","",COUNTIFS(Fixtures!D$5:D$76,I8,Fixtures!J$5:J$76,"W")+COUNTIFS(Fixtures!G$5:G$76,I8,Fixtures!K$5:K$76,"W"))</f>
        <v/>
      </c>
      <c r="L8">
        <f>IF(I8="","",COUNTIFS(Fixtures!D$5:D$76,I8,Fixtures!J$5:J$76,"D")+COUNTIFS(Fixtures!G$5:G$76,I8,Fixtures!K$5:K$76,"D"))</f>
        <v/>
      </c>
      <c r="M8">
        <f>IF(I8="","",SUMPRODUCT((Fixtures!D$5:D$76=I8)*(Fixtures!E$5:E$76&lt;&gt;"")*(Fixtures!F$5:F$76&lt;&gt;"")*(Fixtures!E$5:E$76-Fixtures!F$5:F$76))+SUMPRODUCT((Fixtures!G$5:G$76=I8)*(Fixtures!E$5:E$76&lt;&gt;"")*(Fixtures!F$5:F$76&lt;&gt;"")*(Fixtures!F$5:F$76-Fixtures!E$5:E$76)))</f>
        <v/>
      </c>
      <c r="N8">
        <f>IF(H8="","",COUNTIFS($J$5:$J$104,"&gt;"&amp;J8,$H$5:$H$104,"&lt;&gt;")+COUNTIFS($J$5:$J8,J8,$H$5:$H8,"&lt;&gt;"))</f>
        <v/>
      </c>
    </row>
    <row r="9">
      <c r="A9" s="43" t="n">
        <v>5</v>
      </c>
      <c r="B9" s="44">
        <f>IFERROR(INDEX($H$5:$H$104,MATCH(5,$N$5:$N$104,0)),"")</f>
        <v/>
      </c>
      <c r="C9" s="44">
        <f>IFERROR(INDEX($I$5:$I$104,MATCH(5,$N$5:$N$104,0)),"")</f>
        <v/>
      </c>
      <c r="D9" s="43">
        <f>IFERROR(INDEX($J$5:$J$104,MATCH(5,$N$5:$N$104,0)),"")</f>
        <v/>
      </c>
      <c r="E9" s="43">
        <f>IFERROR(INDEX($K$5:$K$104,MATCH(5,$N$5:$N$104,0)),"")</f>
        <v/>
      </c>
      <c r="F9" s="43">
        <f>IFERROR(INDEX($L$5:$L$104,MATCH(5,$N$5:$N$104,0)),"")</f>
        <v/>
      </c>
      <c r="H9">
        <f>IF(Allocation!B10="","",Allocation!B10)</f>
        <v/>
      </c>
      <c r="I9">
        <f>IF(Allocation!C10="","",Allocation!C10)</f>
        <v/>
      </c>
      <c r="J9">
        <f>IF(I9="","",SUMPRODUCT((Fixtures!D$5:D$76=I9)*(Fixtures!E$5:E$76&lt;&gt;"")*(Fixtures!F$5:F$76&lt;&gt;"")*((Fixtures!E$5:E$76&gt;Fixtures!F$5:F$76)*3+(Fixtures!E$5:E$76=Fixtures!F$5:F$76)*2))+SUMPRODUCT((Fixtures!G$5:G$76=I9)*(Fixtures!E$5:E$76&lt;&gt;"")*(Fixtures!F$5:F$76&lt;&gt;"")*((Fixtures!F$5:F$76&gt;Fixtures!E$5:E$76)*3+(Fixtures!E$5:E$76=Fixtures!F$5:F$76)*2)))</f>
        <v/>
      </c>
      <c r="K9">
        <f>IF(I9="","",COUNTIFS(Fixtures!D$5:D$76,I9,Fixtures!J$5:J$76,"W")+COUNTIFS(Fixtures!G$5:G$76,I9,Fixtures!K$5:K$76,"W"))</f>
        <v/>
      </c>
      <c r="L9">
        <f>IF(I9="","",COUNTIFS(Fixtures!D$5:D$76,I9,Fixtures!J$5:J$76,"D")+COUNTIFS(Fixtures!G$5:G$76,I9,Fixtures!K$5:K$76,"D"))</f>
        <v/>
      </c>
      <c r="M9">
        <f>IF(I9="","",SUMPRODUCT((Fixtures!D$5:D$76=I9)*(Fixtures!E$5:E$76&lt;&gt;"")*(Fixtures!F$5:F$76&lt;&gt;"")*(Fixtures!E$5:E$76-Fixtures!F$5:F$76))+SUMPRODUCT((Fixtures!G$5:G$76=I9)*(Fixtures!E$5:E$76&lt;&gt;"")*(Fixtures!F$5:F$76&lt;&gt;"")*(Fixtures!F$5:F$76-Fixtures!E$5:E$76)))</f>
        <v/>
      </c>
      <c r="N9">
        <f>IF(H9="","",COUNTIFS($J$5:$J$104,"&gt;"&amp;J9,$H$5:$H$104,"&lt;&gt;")+COUNTIFS($J$5:$J9,J9,$H$5:$H9,"&lt;&gt;"))</f>
        <v/>
      </c>
    </row>
    <row r="10">
      <c r="A10" s="43" t="n">
        <v>6</v>
      </c>
      <c r="B10" s="44">
        <f>IFERROR(INDEX($H$5:$H$104,MATCH(6,$N$5:$N$104,0)),"")</f>
        <v/>
      </c>
      <c r="C10" s="44">
        <f>IFERROR(INDEX($I$5:$I$104,MATCH(6,$N$5:$N$104,0)),"")</f>
        <v/>
      </c>
      <c r="D10" s="43">
        <f>IFERROR(INDEX($J$5:$J$104,MATCH(6,$N$5:$N$104,0)),"")</f>
        <v/>
      </c>
      <c r="E10" s="43">
        <f>IFERROR(INDEX($K$5:$K$104,MATCH(6,$N$5:$N$104,0)),"")</f>
        <v/>
      </c>
      <c r="F10" s="43">
        <f>IFERROR(INDEX($L$5:$L$104,MATCH(6,$N$5:$N$104,0)),"")</f>
        <v/>
      </c>
      <c r="H10">
        <f>IF(Allocation!B11="","",Allocation!B11)</f>
        <v/>
      </c>
      <c r="I10">
        <f>IF(Allocation!C11="","",Allocation!C11)</f>
        <v/>
      </c>
      <c r="J10">
        <f>IF(I10="","",SUMPRODUCT((Fixtures!D$5:D$76=I10)*(Fixtures!E$5:E$76&lt;&gt;"")*(Fixtures!F$5:F$76&lt;&gt;"")*((Fixtures!E$5:E$76&gt;Fixtures!F$5:F$76)*3+(Fixtures!E$5:E$76=Fixtures!F$5:F$76)*2))+SUMPRODUCT((Fixtures!G$5:G$76=I10)*(Fixtures!E$5:E$76&lt;&gt;"")*(Fixtures!F$5:F$76&lt;&gt;"")*((Fixtures!F$5:F$76&gt;Fixtures!E$5:E$76)*3+(Fixtures!E$5:E$76=Fixtures!F$5:F$76)*2)))</f>
        <v/>
      </c>
      <c r="K10">
        <f>IF(I10="","",COUNTIFS(Fixtures!D$5:D$76,I10,Fixtures!J$5:J$76,"W")+COUNTIFS(Fixtures!G$5:G$76,I10,Fixtures!K$5:K$76,"W"))</f>
        <v/>
      </c>
      <c r="L10">
        <f>IF(I10="","",COUNTIFS(Fixtures!D$5:D$76,I10,Fixtures!J$5:J$76,"D")+COUNTIFS(Fixtures!G$5:G$76,I10,Fixtures!K$5:K$76,"D"))</f>
        <v/>
      </c>
      <c r="M10">
        <f>IF(I10="","",SUMPRODUCT((Fixtures!D$5:D$76=I10)*(Fixtures!E$5:E$76&lt;&gt;"")*(Fixtures!F$5:F$76&lt;&gt;"")*(Fixtures!E$5:E$76-Fixtures!F$5:F$76))+SUMPRODUCT((Fixtures!G$5:G$76=I10)*(Fixtures!E$5:E$76&lt;&gt;"")*(Fixtures!F$5:F$76&lt;&gt;"")*(Fixtures!F$5:F$76-Fixtures!E$5:E$76)))</f>
        <v/>
      </c>
      <c r="N10">
        <f>IF(H10="","",COUNTIFS($J$5:$J$104,"&gt;"&amp;J10,$H$5:$H$104,"&lt;&gt;")+COUNTIFS($J$5:$J10,J10,$H$5:$H10,"&lt;&gt;"))</f>
        <v/>
      </c>
    </row>
    <row r="11">
      <c r="A11" s="43" t="n">
        <v>7</v>
      </c>
      <c r="B11" s="44">
        <f>IFERROR(INDEX($H$5:$H$104,MATCH(7,$N$5:$N$104,0)),"")</f>
        <v/>
      </c>
      <c r="C11" s="44">
        <f>IFERROR(INDEX($I$5:$I$104,MATCH(7,$N$5:$N$104,0)),"")</f>
        <v/>
      </c>
      <c r="D11" s="43">
        <f>IFERROR(INDEX($J$5:$J$104,MATCH(7,$N$5:$N$104,0)),"")</f>
        <v/>
      </c>
      <c r="E11" s="43">
        <f>IFERROR(INDEX($K$5:$K$104,MATCH(7,$N$5:$N$104,0)),"")</f>
        <v/>
      </c>
      <c r="F11" s="43">
        <f>IFERROR(INDEX($L$5:$L$104,MATCH(7,$N$5:$N$104,0)),"")</f>
        <v/>
      </c>
      <c r="H11">
        <f>IF(Allocation!B12="","",Allocation!B12)</f>
        <v/>
      </c>
      <c r="I11">
        <f>IF(Allocation!C12="","",Allocation!C12)</f>
        <v/>
      </c>
      <c r="J11">
        <f>IF(I11="","",SUMPRODUCT((Fixtures!D$5:D$76=I11)*(Fixtures!E$5:E$76&lt;&gt;"")*(Fixtures!F$5:F$76&lt;&gt;"")*((Fixtures!E$5:E$76&gt;Fixtures!F$5:F$76)*3+(Fixtures!E$5:E$76=Fixtures!F$5:F$76)*2))+SUMPRODUCT((Fixtures!G$5:G$76=I11)*(Fixtures!E$5:E$76&lt;&gt;"")*(Fixtures!F$5:F$76&lt;&gt;"")*((Fixtures!F$5:F$76&gt;Fixtures!E$5:E$76)*3+(Fixtures!E$5:E$76=Fixtures!F$5:F$76)*2)))</f>
        <v/>
      </c>
      <c r="K11">
        <f>IF(I11="","",COUNTIFS(Fixtures!D$5:D$76,I11,Fixtures!J$5:J$76,"W")+COUNTIFS(Fixtures!G$5:G$76,I11,Fixtures!K$5:K$76,"W"))</f>
        <v/>
      </c>
      <c r="L11">
        <f>IF(I11="","",COUNTIFS(Fixtures!D$5:D$76,I11,Fixtures!J$5:J$76,"D")+COUNTIFS(Fixtures!G$5:G$76,I11,Fixtures!K$5:K$76,"D"))</f>
        <v/>
      </c>
      <c r="M11">
        <f>IF(I11="","",SUMPRODUCT((Fixtures!D$5:D$76=I11)*(Fixtures!E$5:E$76&lt;&gt;"")*(Fixtures!F$5:F$76&lt;&gt;"")*(Fixtures!E$5:E$76-Fixtures!F$5:F$76))+SUMPRODUCT((Fixtures!G$5:G$76=I11)*(Fixtures!E$5:E$76&lt;&gt;"")*(Fixtures!F$5:F$76&lt;&gt;"")*(Fixtures!F$5:F$76-Fixtures!E$5:E$76)))</f>
        <v/>
      </c>
      <c r="N11">
        <f>IF(H11="","",COUNTIFS($J$5:$J$104,"&gt;"&amp;J11,$H$5:$H$104,"&lt;&gt;")+COUNTIFS($J$5:$J11,J11,$H$5:$H11,"&lt;&gt;"))</f>
        <v/>
      </c>
    </row>
    <row r="12">
      <c r="A12" s="43" t="n">
        <v>8</v>
      </c>
      <c r="B12" s="44">
        <f>IFERROR(INDEX($H$5:$H$104,MATCH(8,$N$5:$N$104,0)),"")</f>
        <v/>
      </c>
      <c r="C12" s="44">
        <f>IFERROR(INDEX($I$5:$I$104,MATCH(8,$N$5:$N$104,0)),"")</f>
        <v/>
      </c>
      <c r="D12" s="43">
        <f>IFERROR(INDEX($J$5:$J$104,MATCH(8,$N$5:$N$104,0)),"")</f>
        <v/>
      </c>
      <c r="E12" s="43">
        <f>IFERROR(INDEX($K$5:$K$104,MATCH(8,$N$5:$N$104,0)),"")</f>
        <v/>
      </c>
      <c r="F12" s="43">
        <f>IFERROR(INDEX($L$5:$L$104,MATCH(8,$N$5:$N$104,0)),"")</f>
        <v/>
      </c>
      <c r="H12">
        <f>IF(Allocation!B13="","",Allocation!B13)</f>
        <v/>
      </c>
      <c r="I12">
        <f>IF(Allocation!C13="","",Allocation!C13)</f>
        <v/>
      </c>
      <c r="J12">
        <f>IF(I12="","",SUMPRODUCT((Fixtures!D$5:D$76=I12)*(Fixtures!E$5:E$76&lt;&gt;"")*(Fixtures!F$5:F$76&lt;&gt;"")*((Fixtures!E$5:E$76&gt;Fixtures!F$5:F$76)*3+(Fixtures!E$5:E$76=Fixtures!F$5:F$76)*2))+SUMPRODUCT((Fixtures!G$5:G$76=I12)*(Fixtures!E$5:E$76&lt;&gt;"")*(Fixtures!F$5:F$76&lt;&gt;"")*((Fixtures!F$5:F$76&gt;Fixtures!E$5:E$76)*3+(Fixtures!E$5:E$76=Fixtures!F$5:F$76)*2)))</f>
        <v/>
      </c>
      <c r="K12">
        <f>IF(I12="","",COUNTIFS(Fixtures!D$5:D$76,I12,Fixtures!J$5:J$76,"W")+COUNTIFS(Fixtures!G$5:G$76,I12,Fixtures!K$5:K$76,"W"))</f>
        <v/>
      </c>
      <c r="L12">
        <f>IF(I12="","",COUNTIFS(Fixtures!D$5:D$76,I12,Fixtures!J$5:J$76,"D")+COUNTIFS(Fixtures!G$5:G$76,I12,Fixtures!K$5:K$76,"D"))</f>
        <v/>
      </c>
      <c r="M12">
        <f>IF(I12="","",SUMPRODUCT((Fixtures!D$5:D$76=I12)*(Fixtures!E$5:E$76&lt;&gt;"")*(Fixtures!F$5:F$76&lt;&gt;"")*(Fixtures!E$5:E$76-Fixtures!F$5:F$76))+SUMPRODUCT((Fixtures!G$5:G$76=I12)*(Fixtures!E$5:E$76&lt;&gt;"")*(Fixtures!F$5:F$76&lt;&gt;"")*(Fixtures!F$5:F$76-Fixtures!E$5:E$76)))</f>
        <v/>
      </c>
      <c r="N12">
        <f>IF(H12="","",COUNTIFS($J$5:$J$104,"&gt;"&amp;J12,$H$5:$H$104,"&lt;&gt;")+COUNTIFS($J$5:$J12,J12,$H$5:$H12,"&lt;&gt;"))</f>
        <v/>
      </c>
    </row>
    <row r="13">
      <c r="A13" s="43" t="n">
        <v>9</v>
      </c>
      <c r="B13" s="44">
        <f>IFERROR(INDEX($H$5:$H$104,MATCH(9,$N$5:$N$104,0)),"")</f>
        <v/>
      </c>
      <c r="C13" s="44">
        <f>IFERROR(INDEX($I$5:$I$104,MATCH(9,$N$5:$N$104,0)),"")</f>
        <v/>
      </c>
      <c r="D13" s="43">
        <f>IFERROR(INDEX($J$5:$J$104,MATCH(9,$N$5:$N$104,0)),"")</f>
        <v/>
      </c>
      <c r="E13" s="43">
        <f>IFERROR(INDEX($K$5:$K$104,MATCH(9,$N$5:$N$104,0)),"")</f>
        <v/>
      </c>
      <c r="F13" s="43">
        <f>IFERROR(INDEX($L$5:$L$104,MATCH(9,$N$5:$N$104,0)),"")</f>
        <v/>
      </c>
      <c r="H13">
        <f>IF(Allocation!B14="","",Allocation!B14)</f>
        <v/>
      </c>
      <c r="I13">
        <f>IF(Allocation!C14="","",Allocation!C14)</f>
        <v/>
      </c>
      <c r="J13">
        <f>IF(I13="","",SUMPRODUCT((Fixtures!D$5:D$76=I13)*(Fixtures!E$5:E$76&lt;&gt;"")*(Fixtures!F$5:F$76&lt;&gt;"")*((Fixtures!E$5:E$76&gt;Fixtures!F$5:F$76)*3+(Fixtures!E$5:E$76=Fixtures!F$5:F$76)*2))+SUMPRODUCT((Fixtures!G$5:G$76=I13)*(Fixtures!E$5:E$76&lt;&gt;"")*(Fixtures!F$5:F$76&lt;&gt;"")*((Fixtures!F$5:F$76&gt;Fixtures!E$5:E$76)*3+(Fixtures!E$5:E$76=Fixtures!F$5:F$76)*2)))</f>
        <v/>
      </c>
      <c r="K13">
        <f>IF(I13="","",COUNTIFS(Fixtures!D$5:D$76,I13,Fixtures!J$5:J$76,"W")+COUNTIFS(Fixtures!G$5:G$76,I13,Fixtures!K$5:K$76,"W"))</f>
        <v/>
      </c>
      <c r="L13">
        <f>IF(I13="","",COUNTIFS(Fixtures!D$5:D$76,I13,Fixtures!J$5:J$76,"D")+COUNTIFS(Fixtures!G$5:G$76,I13,Fixtures!K$5:K$76,"D"))</f>
        <v/>
      </c>
      <c r="M13">
        <f>IF(I13="","",SUMPRODUCT((Fixtures!D$5:D$76=I13)*(Fixtures!E$5:E$76&lt;&gt;"")*(Fixtures!F$5:F$76&lt;&gt;"")*(Fixtures!E$5:E$76-Fixtures!F$5:F$76))+SUMPRODUCT((Fixtures!G$5:G$76=I13)*(Fixtures!E$5:E$76&lt;&gt;"")*(Fixtures!F$5:F$76&lt;&gt;"")*(Fixtures!F$5:F$76-Fixtures!E$5:E$76)))</f>
        <v/>
      </c>
      <c r="N13">
        <f>IF(H13="","",COUNTIFS($J$5:$J$104,"&gt;"&amp;J13,$H$5:$H$104,"&lt;&gt;")+COUNTIFS($J$5:$J13,J13,$H$5:$H13,"&lt;&gt;"))</f>
        <v/>
      </c>
    </row>
    <row r="14">
      <c r="A14" s="43" t="n">
        <v>10</v>
      </c>
      <c r="B14" s="44">
        <f>IFERROR(INDEX($H$5:$H$104,MATCH(10,$N$5:$N$104,0)),"")</f>
        <v/>
      </c>
      <c r="C14" s="44">
        <f>IFERROR(INDEX($I$5:$I$104,MATCH(10,$N$5:$N$104,0)),"")</f>
        <v/>
      </c>
      <c r="D14" s="43">
        <f>IFERROR(INDEX($J$5:$J$104,MATCH(10,$N$5:$N$104,0)),"")</f>
        <v/>
      </c>
      <c r="E14" s="43">
        <f>IFERROR(INDEX($K$5:$K$104,MATCH(10,$N$5:$N$104,0)),"")</f>
        <v/>
      </c>
      <c r="F14" s="43">
        <f>IFERROR(INDEX($L$5:$L$104,MATCH(10,$N$5:$N$104,0)),"")</f>
        <v/>
      </c>
      <c r="H14">
        <f>IF(Allocation!B15="","",Allocation!B15)</f>
        <v/>
      </c>
      <c r="I14">
        <f>IF(Allocation!C15="","",Allocation!C15)</f>
        <v/>
      </c>
      <c r="J14">
        <f>IF(I14="","",SUMPRODUCT((Fixtures!D$5:D$76=I14)*(Fixtures!E$5:E$76&lt;&gt;"")*(Fixtures!F$5:F$76&lt;&gt;"")*((Fixtures!E$5:E$76&gt;Fixtures!F$5:F$76)*3+(Fixtures!E$5:E$76=Fixtures!F$5:F$76)*2))+SUMPRODUCT((Fixtures!G$5:G$76=I14)*(Fixtures!E$5:E$76&lt;&gt;"")*(Fixtures!F$5:F$76&lt;&gt;"")*((Fixtures!F$5:F$76&gt;Fixtures!E$5:E$76)*3+(Fixtures!E$5:E$76=Fixtures!F$5:F$76)*2)))</f>
        <v/>
      </c>
      <c r="K14">
        <f>IF(I14="","",COUNTIFS(Fixtures!D$5:D$76,I14,Fixtures!J$5:J$76,"W")+COUNTIFS(Fixtures!G$5:G$76,I14,Fixtures!K$5:K$76,"W"))</f>
        <v/>
      </c>
      <c r="L14">
        <f>IF(I14="","",COUNTIFS(Fixtures!D$5:D$76,I14,Fixtures!J$5:J$76,"D")+COUNTIFS(Fixtures!G$5:G$76,I14,Fixtures!K$5:K$76,"D"))</f>
        <v/>
      </c>
      <c r="M14">
        <f>IF(I14="","",SUMPRODUCT((Fixtures!D$5:D$76=I14)*(Fixtures!E$5:E$76&lt;&gt;"")*(Fixtures!F$5:F$76&lt;&gt;"")*(Fixtures!E$5:E$76-Fixtures!F$5:F$76))+SUMPRODUCT((Fixtures!G$5:G$76=I14)*(Fixtures!E$5:E$76&lt;&gt;"")*(Fixtures!F$5:F$76&lt;&gt;"")*(Fixtures!F$5:F$76-Fixtures!E$5:E$76)))</f>
        <v/>
      </c>
      <c r="N14">
        <f>IF(H14="","",COUNTIFS($J$5:$J$104,"&gt;"&amp;J14,$H$5:$H$104,"&lt;&gt;")+COUNTIFS($J$5:$J14,J14,$H$5:$H14,"&lt;&gt;"))</f>
        <v/>
      </c>
    </row>
    <row r="15">
      <c r="A15" s="43" t="n">
        <v>11</v>
      </c>
      <c r="B15" s="44">
        <f>IFERROR(INDEX($H$5:$H$104,MATCH(11,$N$5:$N$104,0)),"")</f>
        <v/>
      </c>
      <c r="C15" s="44">
        <f>IFERROR(INDEX($I$5:$I$104,MATCH(11,$N$5:$N$104,0)),"")</f>
        <v/>
      </c>
      <c r="D15" s="43">
        <f>IFERROR(INDEX($J$5:$J$104,MATCH(11,$N$5:$N$104,0)),"")</f>
        <v/>
      </c>
      <c r="E15" s="43">
        <f>IFERROR(INDEX($K$5:$K$104,MATCH(11,$N$5:$N$104,0)),"")</f>
        <v/>
      </c>
      <c r="F15" s="43">
        <f>IFERROR(INDEX($L$5:$L$104,MATCH(11,$N$5:$N$104,0)),"")</f>
        <v/>
      </c>
      <c r="H15">
        <f>IF(Allocation!B16="","",Allocation!B16)</f>
        <v/>
      </c>
      <c r="I15">
        <f>IF(Allocation!C16="","",Allocation!C16)</f>
        <v/>
      </c>
      <c r="J15">
        <f>IF(I15="","",SUMPRODUCT((Fixtures!D$5:D$76=I15)*(Fixtures!E$5:E$76&lt;&gt;"")*(Fixtures!F$5:F$76&lt;&gt;"")*((Fixtures!E$5:E$76&gt;Fixtures!F$5:F$76)*3+(Fixtures!E$5:E$76=Fixtures!F$5:F$76)*2))+SUMPRODUCT((Fixtures!G$5:G$76=I15)*(Fixtures!E$5:E$76&lt;&gt;"")*(Fixtures!F$5:F$76&lt;&gt;"")*((Fixtures!F$5:F$76&gt;Fixtures!E$5:E$76)*3+(Fixtures!E$5:E$76=Fixtures!F$5:F$76)*2)))</f>
        <v/>
      </c>
      <c r="K15">
        <f>IF(I15="","",COUNTIFS(Fixtures!D$5:D$76,I15,Fixtures!J$5:J$76,"W")+COUNTIFS(Fixtures!G$5:G$76,I15,Fixtures!K$5:K$76,"W"))</f>
        <v/>
      </c>
      <c r="L15">
        <f>IF(I15="","",COUNTIFS(Fixtures!D$5:D$76,I15,Fixtures!J$5:J$76,"D")+COUNTIFS(Fixtures!G$5:G$76,I15,Fixtures!K$5:K$76,"D"))</f>
        <v/>
      </c>
      <c r="M15">
        <f>IF(I15="","",SUMPRODUCT((Fixtures!D$5:D$76=I15)*(Fixtures!E$5:E$76&lt;&gt;"")*(Fixtures!F$5:F$76&lt;&gt;"")*(Fixtures!E$5:E$76-Fixtures!F$5:F$76))+SUMPRODUCT((Fixtures!G$5:G$76=I15)*(Fixtures!E$5:E$76&lt;&gt;"")*(Fixtures!F$5:F$76&lt;&gt;"")*(Fixtures!F$5:F$76-Fixtures!E$5:E$76)))</f>
        <v/>
      </c>
      <c r="N15">
        <f>IF(H15="","",COUNTIFS($J$5:$J$104,"&gt;"&amp;J15,$H$5:$H$104,"&lt;&gt;")+COUNTIFS($J$5:$J15,J15,$H$5:$H15,"&lt;&gt;"))</f>
        <v/>
      </c>
    </row>
    <row r="16">
      <c r="A16" s="43" t="n">
        <v>12</v>
      </c>
      <c r="B16" s="44">
        <f>IFERROR(INDEX($H$5:$H$104,MATCH(12,$N$5:$N$104,0)),"")</f>
        <v/>
      </c>
      <c r="C16" s="44">
        <f>IFERROR(INDEX($I$5:$I$104,MATCH(12,$N$5:$N$104,0)),"")</f>
        <v/>
      </c>
      <c r="D16" s="43">
        <f>IFERROR(INDEX($J$5:$J$104,MATCH(12,$N$5:$N$104,0)),"")</f>
        <v/>
      </c>
      <c r="E16" s="43">
        <f>IFERROR(INDEX($K$5:$K$104,MATCH(12,$N$5:$N$104,0)),"")</f>
        <v/>
      </c>
      <c r="F16" s="43">
        <f>IFERROR(INDEX($L$5:$L$104,MATCH(12,$N$5:$N$104,0)),"")</f>
        <v/>
      </c>
      <c r="H16">
        <f>IF(Allocation!B17="","",Allocation!B17)</f>
        <v/>
      </c>
      <c r="I16">
        <f>IF(Allocation!C17="","",Allocation!C17)</f>
        <v/>
      </c>
      <c r="J16">
        <f>IF(I16="","",SUMPRODUCT((Fixtures!D$5:D$76=I16)*(Fixtures!E$5:E$76&lt;&gt;"")*(Fixtures!F$5:F$76&lt;&gt;"")*((Fixtures!E$5:E$76&gt;Fixtures!F$5:F$76)*3+(Fixtures!E$5:E$76=Fixtures!F$5:F$76)*2))+SUMPRODUCT((Fixtures!G$5:G$76=I16)*(Fixtures!E$5:E$76&lt;&gt;"")*(Fixtures!F$5:F$76&lt;&gt;"")*((Fixtures!F$5:F$76&gt;Fixtures!E$5:E$76)*3+(Fixtures!E$5:E$76=Fixtures!F$5:F$76)*2)))</f>
        <v/>
      </c>
      <c r="K16">
        <f>IF(I16="","",COUNTIFS(Fixtures!D$5:D$76,I16,Fixtures!J$5:J$76,"W")+COUNTIFS(Fixtures!G$5:G$76,I16,Fixtures!K$5:K$76,"W"))</f>
        <v/>
      </c>
      <c r="L16">
        <f>IF(I16="","",COUNTIFS(Fixtures!D$5:D$76,I16,Fixtures!J$5:J$76,"D")+COUNTIFS(Fixtures!G$5:G$76,I16,Fixtures!K$5:K$76,"D"))</f>
        <v/>
      </c>
      <c r="M16">
        <f>IF(I16="","",SUMPRODUCT((Fixtures!D$5:D$76=I16)*(Fixtures!E$5:E$76&lt;&gt;"")*(Fixtures!F$5:F$76&lt;&gt;"")*(Fixtures!E$5:E$76-Fixtures!F$5:F$76))+SUMPRODUCT((Fixtures!G$5:G$76=I16)*(Fixtures!E$5:E$76&lt;&gt;"")*(Fixtures!F$5:F$76&lt;&gt;"")*(Fixtures!F$5:F$76-Fixtures!E$5:E$76)))</f>
        <v/>
      </c>
      <c r="N16">
        <f>IF(H16="","",COUNTIFS($J$5:$J$104,"&gt;"&amp;J16,$H$5:$H$104,"&lt;&gt;")+COUNTIFS($J$5:$J16,J16,$H$5:$H16,"&lt;&gt;"))</f>
        <v/>
      </c>
    </row>
    <row r="17">
      <c r="A17" s="43" t="n">
        <v>13</v>
      </c>
      <c r="B17" s="44">
        <f>IFERROR(INDEX($H$5:$H$104,MATCH(13,$N$5:$N$104,0)),"")</f>
        <v/>
      </c>
      <c r="C17" s="44">
        <f>IFERROR(INDEX($I$5:$I$104,MATCH(13,$N$5:$N$104,0)),"")</f>
        <v/>
      </c>
      <c r="D17" s="43">
        <f>IFERROR(INDEX($J$5:$J$104,MATCH(13,$N$5:$N$104,0)),"")</f>
        <v/>
      </c>
      <c r="E17" s="43">
        <f>IFERROR(INDEX($K$5:$K$104,MATCH(13,$N$5:$N$104,0)),"")</f>
        <v/>
      </c>
      <c r="F17" s="43">
        <f>IFERROR(INDEX($L$5:$L$104,MATCH(13,$N$5:$N$104,0)),"")</f>
        <v/>
      </c>
      <c r="H17">
        <f>IF(Allocation!B18="","",Allocation!B18)</f>
        <v/>
      </c>
      <c r="I17">
        <f>IF(Allocation!C18="","",Allocation!C18)</f>
        <v/>
      </c>
      <c r="J17">
        <f>IF(I17="","",SUMPRODUCT((Fixtures!D$5:D$76=I17)*(Fixtures!E$5:E$76&lt;&gt;"")*(Fixtures!F$5:F$76&lt;&gt;"")*((Fixtures!E$5:E$76&gt;Fixtures!F$5:F$76)*3+(Fixtures!E$5:E$76=Fixtures!F$5:F$76)*2))+SUMPRODUCT((Fixtures!G$5:G$76=I17)*(Fixtures!E$5:E$76&lt;&gt;"")*(Fixtures!F$5:F$76&lt;&gt;"")*((Fixtures!F$5:F$76&gt;Fixtures!E$5:E$76)*3+(Fixtures!E$5:E$76=Fixtures!F$5:F$76)*2)))</f>
        <v/>
      </c>
      <c r="K17">
        <f>IF(I17="","",COUNTIFS(Fixtures!D$5:D$76,I17,Fixtures!J$5:J$76,"W")+COUNTIFS(Fixtures!G$5:G$76,I17,Fixtures!K$5:K$76,"W"))</f>
        <v/>
      </c>
      <c r="L17">
        <f>IF(I17="","",COUNTIFS(Fixtures!D$5:D$76,I17,Fixtures!J$5:J$76,"D")+COUNTIFS(Fixtures!G$5:G$76,I17,Fixtures!K$5:K$76,"D"))</f>
        <v/>
      </c>
      <c r="M17">
        <f>IF(I17="","",SUMPRODUCT((Fixtures!D$5:D$76=I17)*(Fixtures!E$5:E$76&lt;&gt;"")*(Fixtures!F$5:F$76&lt;&gt;"")*(Fixtures!E$5:E$76-Fixtures!F$5:F$76))+SUMPRODUCT((Fixtures!G$5:G$76=I17)*(Fixtures!E$5:E$76&lt;&gt;"")*(Fixtures!F$5:F$76&lt;&gt;"")*(Fixtures!F$5:F$76-Fixtures!E$5:E$76)))</f>
        <v/>
      </c>
      <c r="N17">
        <f>IF(H17="","",COUNTIFS($J$5:$J$104,"&gt;"&amp;J17,$H$5:$H$104,"&lt;&gt;")+COUNTIFS($J$5:$J17,J17,$H$5:$H17,"&lt;&gt;"))</f>
        <v/>
      </c>
    </row>
    <row r="18">
      <c r="A18" s="43" t="n">
        <v>14</v>
      </c>
      <c r="B18" s="44">
        <f>IFERROR(INDEX($H$5:$H$104,MATCH(14,$N$5:$N$104,0)),"")</f>
        <v/>
      </c>
      <c r="C18" s="44">
        <f>IFERROR(INDEX($I$5:$I$104,MATCH(14,$N$5:$N$104,0)),"")</f>
        <v/>
      </c>
      <c r="D18" s="43">
        <f>IFERROR(INDEX($J$5:$J$104,MATCH(14,$N$5:$N$104,0)),"")</f>
        <v/>
      </c>
      <c r="E18" s="43">
        <f>IFERROR(INDEX($K$5:$K$104,MATCH(14,$N$5:$N$104,0)),"")</f>
        <v/>
      </c>
      <c r="F18" s="43">
        <f>IFERROR(INDEX($L$5:$L$104,MATCH(14,$N$5:$N$104,0)),"")</f>
        <v/>
      </c>
      <c r="H18">
        <f>IF(Allocation!B19="","",Allocation!B19)</f>
        <v/>
      </c>
      <c r="I18">
        <f>IF(Allocation!C19="","",Allocation!C19)</f>
        <v/>
      </c>
      <c r="J18">
        <f>IF(I18="","",SUMPRODUCT((Fixtures!D$5:D$76=I18)*(Fixtures!E$5:E$76&lt;&gt;"")*(Fixtures!F$5:F$76&lt;&gt;"")*((Fixtures!E$5:E$76&gt;Fixtures!F$5:F$76)*3+(Fixtures!E$5:E$76=Fixtures!F$5:F$76)*2))+SUMPRODUCT((Fixtures!G$5:G$76=I18)*(Fixtures!E$5:E$76&lt;&gt;"")*(Fixtures!F$5:F$76&lt;&gt;"")*((Fixtures!F$5:F$76&gt;Fixtures!E$5:E$76)*3+(Fixtures!E$5:E$76=Fixtures!F$5:F$76)*2)))</f>
        <v/>
      </c>
      <c r="K18">
        <f>IF(I18="","",COUNTIFS(Fixtures!D$5:D$76,I18,Fixtures!J$5:J$76,"W")+COUNTIFS(Fixtures!G$5:G$76,I18,Fixtures!K$5:K$76,"W"))</f>
        <v/>
      </c>
      <c r="L18">
        <f>IF(I18="","",COUNTIFS(Fixtures!D$5:D$76,I18,Fixtures!J$5:J$76,"D")+COUNTIFS(Fixtures!G$5:G$76,I18,Fixtures!K$5:K$76,"D"))</f>
        <v/>
      </c>
      <c r="M18">
        <f>IF(I18="","",SUMPRODUCT((Fixtures!D$5:D$76=I18)*(Fixtures!E$5:E$76&lt;&gt;"")*(Fixtures!F$5:F$76&lt;&gt;"")*(Fixtures!E$5:E$76-Fixtures!F$5:F$76))+SUMPRODUCT((Fixtures!G$5:G$76=I18)*(Fixtures!E$5:E$76&lt;&gt;"")*(Fixtures!F$5:F$76&lt;&gt;"")*(Fixtures!F$5:F$76-Fixtures!E$5:E$76)))</f>
        <v/>
      </c>
      <c r="N18">
        <f>IF(H18="","",COUNTIFS($J$5:$J$104,"&gt;"&amp;J18,$H$5:$H$104,"&lt;&gt;")+COUNTIFS($J$5:$J18,J18,$H$5:$H18,"&lt;&gt;"))</f>
        <v/>
      </c>
    </row>
    <row r="19">
      <c r="A19" s="43" t="n">
        <v>15</v>
      </c>
      <c r="B19" s="44">
        <f>IFERROR(INDEX($H$5:$H$104,MATCH(15,$N$5:$N$104,0)),"")</f>
        <v/>
      </c>
      <c r="C19" s="44">
        <f>IFERROR(INDEX($I$5:$I$104,MATCH(15,$N$5:$N$104,0)),"")</f>
        <v/>
      </c>
      <c r="D19" s="43">
        <f>IFERROR(INDEX($J$5:$J$104,MATCH(15,$N$5:$N$104,0)),"")</f>
        <v/>
      </c>
      <c r="E19" s="43">
        <f>IFERROR(INDEX($K$5:$K$104,MATCH(15,$N$5:$N$104,0)),"")</f>
        <v/>
      </c>
      <c r="F19" s="43">
        <f>IFERROR(INDEX($L$5:$L$104,MATCH(15,$N$5:$N$104,0)),"")</f>
        <v/>
      </c>
      <c r="H19">
        <f>IF(Allocation!B20="","",Allocation!B20)</f>
        <v/>
      </c>
      <c r="I19">
        <f>IF(Allocation!C20="","",Allocation!C20)</f>
        <v/>
      </c>
      <c r="J19">
        <f>IF(I19="","",SUMPRODUCT((Fixtures!D$5:D$76=I19)*(Fixtures!E$5:E$76&lt;&gt;"")*(Fixtures!F$5:F$76&lt;&gt;"")*((Fixtures!E$5:E$76&gt;Fixtures!F$5:F$76)*3+(Fixtures!E$5:E$76=Fixtures!F$5:F$76)*2))+SUMPRODUCT((Fixtures!G$5:G$76=I19)*(Fixtures!E$5:E$76&lt;&gt;"")*(Fixtures!F$5:F$76&lt;&gt;"")*((Fixtures!F$5:F$76&gt;Fixtures!E$5:E$76)*3+(Fixtures!E$5:E$76=Fixtures!F$5:F$76)*2)))</f>
        <v/>
      </c>
      <c r="K19">
        <f>IF(I19="","",COUNTIFS(Fixtures!D$5:D$76,I19,Fixtures!J$5:J$76,"W")+COUNTIFS(Fixtures!G$5:G$76,I19,Fixtures!K$5:K$76,"W"))</f>
        <v/>
      </c>
      <c r="L19">
        <f>IF(I19="","",COUNTIFS(Fixtures!D$5:D$76,I19,Fixtures!J$5:J$76,"D")+COUNTIFS(Fixtures!G$5:G$76,I19,Fixtures!K$5:K$76,"D"))</f>
        <v/>
      </c>
      <c r="M19">
        <f>IF(I19="","",SUMPRODUCT((Fixtures!D$5:D$76=I19)*(Fixtures!E$5:E$76&lt;&gt;"")*(Fixtures!F$5:F$76&lt;&gt;"")*(Fixtures!E$5:E$76-Fixtures!F$5:F$76))+SUMPRODUCT((Fixtures!G$5:G$76=I19)*(Fixtures!E$5:E$76&lt;&gt;"")*(Fixtures!F$5:F$76&lt;&gt;"")*(Fixtures!F$5:F$76-Fixtures!E$5:E$76)))</f>
        <v/>
      </c>
      <c r="N19">
        <f>IF(H19="","",COUNTIFS($J$5:$J$104,"&gt;"&amp;J19,$H$5:$H$104,"&lt;&gt;")+COUNTIFS($J$5:$J19,J19,$H$5:$H19,"&lt;&gt;"))</f>
        <v/>
      </c>
    </row>
    <row r="20">
      <c r="A20" s="43" t="n">
        <v>16</v>
      </c>
      <c r="B20" s="44">
        <f>IFERROR(INDEX($H$5:$H$104,MATCH(16,$N$5:$N$104,0)),"")</f>
        <v/>
      </c>
      <c r="C20" s="44">
        <f>IFERROR(INDEX($I$5:$I$104,MATCH(16,$N$5:$N$104,0)),"")</f>
        <v/>
      </c>
      <c r="D20" s="43">
        <f>IFERROR(INDEX($J$5:$J$104,MATCH(16,$N$5:$N$104,0)),"")</f>
        <v/>
      </c>
      <c r="E20" s="43">
        <f>IFERROR(INDEX($K$5:$K$104,MATCH(16,$N$5:$N$104,0)),"")</f>
        <v/>
      </c>
      <c r="F20" s="43">
        <f>IFERROR(INDEX($L$5:$L$104,MATCH(16,$N$5:$N$104,0)),"")</f>
        <v/>
      </c>
      <c r="H20">
        <f>IF(Allocation!B21="","",Allocation!B21)</f>
        <v/>
      </c>
      <c r="I20">
        <f>IF(Allocation!C21="","",Allocation!C21)</f>
        <v/>
      </c>
      <c r="J20">
        <f>IF(I20="","",SUMPRODUCT((Fixtures!D$5:D$76=I20)*(Fixtures!E$5:E$76&lt;&gt;"")*(Fixtures!F$5:F$76&lt;&gt;"")*((Fixtures!E$5:E$76&gt;Fixtures!F$5:F$76)*3+(Fixtures!E$5:E$76=Fixtures!F$5:F$76)*2))+SUMPRODUCT((Fixtures!G$5:G$76=I20)*(Fixtures!E$5:E$76&lt;&gt;"")*(Fixtures!F$5:F$76&lt;&gt;"")*((Fixtures!F$5:F$76&gt;Fixtures!E$5:E$76)*3+(Fixtures!E$5:E$76=Fixtures!F$5:F$76)*2)))</f>
        <v/>
      </c>
      <c r="K20">
        <f>IF(I20="","",COUNTIFS(Fixtures!D$5:D$76,I20,Fixtures!J$5:J$76,"W")+COUNTIFS(Fixtures!G$5:G$76,I20,Fixtures!K$5:K$76,"W"))</f>
        <v/>
      </c>
      <c r="L20">
        <f>IF(I20="","",COUNTIFS(Fixtures!D$5:D$76,I20,Fixtures!J$5:J$76,"D")+COUNTIFS(Fixtures!G$5:G$76,I20,Fixtures!K$5:K$76,"D"))</f>
        <v/>
      </c>
      <c r="M20">
        <f>IF(I20="","",SUMPRODUCT((Fixtures!D$5:D$76=I20)*(Fixtures!E$5:E$76&lt;&gt;"")*(Fixtures!F$5:F$76&lt;&gt;"")*(Fixtures!E$5:E$76-Fixtures!F$5:F$76))+SUMPRODUCT((Fixtures!G$5:G$76=I20)*(Fixtures!E$5:E$76&lt;&gt;"")*(Fixtures!F$5:F$76&lt;&gt;"")*(Fixtures!F$5:F$76-Fixtures!E$5:E$76)))</f>
        <v/>
      </c>
      <c r="N20">
        <f>IF(H20="","",COUNTIFS($J$5:$J$104,"&gt;"&amp;J20,$H$5:$H$104,"&lt;&gt;")+COUNTIFS($J$5:$J20,J20,$H$5:$H20,"&lt;&gt;"))</f>
        <v/>
      </c>
    </row>
    <row r="21">
      <c r="A21" s="43" t="n">
        <v>17</v>
      </c>
      <c r="B21" s="44">
        <f>IFERROR(INDEX($H$5:$H$104,MATCH(17,$N$5:$N$104,0)),"")</f>
        <v/>
      </c>
      <c r="C21" s="44">
        <f>IFERROR(INDEX($I$5:$I$104,MATCH(17,$N$5:$N$104,0)),"")</f>
        <v/>
      </c>
      <c r="D21" s="43">
        <f>IFERROR(INDEX($J$5:$J$104,MATCH(17,$N$5:$N$104,0)),"")</f>
        <v/>
      </c>
      <c r="E21" s="43">
        <f>IFERROR(INDEX($K$5:$K$104,MATCH(17,$N$5:$N$104,0)),"")</f>
        <v/>
      </c>
      <c r="F21" s="43">
        <f>IFERROR(INDEX($L$5:$L$104,MATCH(17,$N$5:$N$104,0)),"")</f>
        <v/>
      </c>
      <c r="H21">
        <f>IF(Allocation!B22="","",Allocation!B22)</f>
        <v/>
      </c>
      <c r="I21">
        <f>IF(Allocation!C22="","",Allocation!C22)</f>
        <v/>
      </c>
      <c r="J21">
        <f>IF(I21="","",SUMPRODUCT((Fixtures!D$5:D$76=I21)*(Fixtures!E$5:E$76&lt;&gt;"")*(Fixtures!F$5:F$76&lt;&gt;"")*((Fixtures!E$5:E$76&gt;Fixtures!F$5:F$76)*3+(Fixtures!E$5:E$76=Fixtures!F$5:F$76)*2))+SUMPRODUCT((Fixtures!G$5:G$76=I21)*(Fixtures!E$5:E$76&lt;&gt;"")*(Fixtures!F$5:F$76&lt;&gt;"")*((Fixtures!F$5:F$76&gt;Fixtures!E$5:E$76)*3+(Fixtures!E$5:E$76=Fixtures!F$5:F$76)*2)))</f>
        <v/>
      </c>
      <c r="K21">
        <f>IF(I21="","",COUNTIFS(Fixtures!D$5:D$76,I21,Fixtures!J$5:J$76,"W")+COUNTIFS(Fixtures!G$5:G$76,I21,Fixtures!K$5:K$76,"W"))</f>
        <v/>
      </c>
      <c r="L21">
        <f>IF(I21="","",COUNTIFS(Fixtures!D$5:D$76,I21,Fixtures!J$5:J$76,"D")+COUNTIFS(Fixtures!G$5:G$76,I21,Fixtures!K$5:K$76,"D"))</f>
        <v/>
      </c>
      <c r="M21">
        <f>IF(I21="","",SUMPRODUCT((Fixtures!D$5:D$76=I21)*(Fixtures!E$5:E$76&lt;&gt;"")*(Fixtures!F$5:F$76&lt;&gt;"")*(Fixtures!E$5:E$76-Fixtures!F$5:F$76))+SUMPRODUCT((Fixtures!G$5:G$76=I21)*(Fixtures!E$5:E$76&lt;&gt;"")*(Fixtures!F$5:F$76&lt;&gt;"")*(Fixtures!F$5:F$76-Fixtures!E$5:E$76)))</f>
        <v/>
      </c>
      <c r="N21">
        <f>IF(H21="","",COUNTIFS($J$5:$J$104,"&gt;"&amp;J21,$H$5:$H$104,"&lt;&gt;")+COUNTIFS($J$5:$J21,J21,$H$5:$H21,"&lt;&gt;"))</f>
        <v/>
      </c>
    </row>
    <row r="22">
      <c r="A22" s="43" t="n">
        <v>18</v>
      </c>
      <c r="B22" s="44">
        <f>IFERROR(INDEX($H$5:$H$104,MATCH(18,$N$5:$N$104,0)),"")</f>
        <v/>
      </c>
      <c r="C22" s="44">
        <f>IFERROR(INDEX($I$5:$I$104,MATCH(18,$N$5:$N$104,0)),"")</f>
        <v/>
      </c>
      <c r="D22" s="43">
        <f>IFERROR(INDEX($J$5:$J$104,MATCH(18,$N$5:$N$104,0)),"")</f>
        <v/>
      </c>
      <c r="E22" s="43">
        <f>IFERROR(INDEX($K$5:$K$104,MATCH(18,$N$5:$N$104,0)),"")</f>
        <v/>
      </c>
      <c r="F22" s="43">
        <f>IFERROR(INDEX($L$5:$L$104,MATCH(18,$N$5:$N$104,0)),"")</f>
        <v/>
      </c>
      <c r="H22">
        <f>IF(Allocation!B23="","",Allocation!B23)</f>
        <v/>
      </c>
      <c r="I22">
        <f>IF(Allocation!C23="","",Allocation!C23)</f>
        <v/>
      </c>
      <c r="J22">
        <f>IF(I22="","",SUMPRODUCT((Fixtures!D$5:D$76=I22)*(Fixtures!E$5:E$76&lt;&gt;"")*(Fixtures!F$5:F$76&lt;&gt;"")*((Fixtures!E$5:E$76&gt;Fixtures!F$5:F$76)*3+(Fixtures!E$5:E$76=Fixtures!F$5:F$76)*2))+SUMPRODUCT((Fixtures!G$5:G$76=I22)*(Fixtures!E$5:E$76&lt;&gt;"")*(Fixtures!F$5:F$76&lt;&gt;"")*((Fixtures!F$5:F$76&gt;Fixtures!E$5:E$76)*3+(Fixtures!E$5:E$76=Fixtures!F$5:F$76)*2)))</f>
        <v/>
      </c>
      <c r="K22">
        <f>IF(I22="","",COUNTIFS(Fixtures!D$5:D$76,I22,Fixtures!J$5:J$76,"W")+COUNTIFS(Fixtures!G$5:G$76,I22,Fixtures!K$5:K$76,"W"))</f>
        <v/>
      </c>
      <c r="L22">
        <f>IF(I22="","",COUNTIFS(Fixtures!D$5:D$76,I22,Fixtures!J$5:J$76,"D")+COUNTIFS(Fixtures!G$5:G$76,I22,Fixtures!K$5:K$76,"D"))</f>
        <v/>
      </c>
      <c r="M22">
        <f>IF(I22="","",SUMPRODUCT((Fixtures!D$5:D$76=I22)*(Fixtures!E$5:E$76&lt;&gt;"")*(Fixtures!F$5:F$76&lt;&gt;"")*(Fixtures!E$5:E$76-Fixtures!F$5:F$76))+SUMPRODUCT((Fixtures!G$5:G$76=I22)*(Fixtures!E$5:E$76&lt;&gt;"")*(Fixtures!F$5:F$76&lt;&gt;"")*(Fixtures!F$5:F$76-Fixtures!E$5:E$76)))</f>
        <v/>
      </c>
      <c r="N22">
        <f>IF(H22="","",COUNTIFS($J$5:$J$104,"&gt;"&amp;J22,$H$5:$H$104,"&lt;&gt;")+COUNTIFS($J$5:$J22,J22,$H$5:$H22,"&lt;&gt;"))</f>
        <v/>
      </c>
    </row>
    <row r="23">
      <c r="A23" s="43" t="n">
        <v>19</v>
      </c>
      <c r="B23" s="44">
        <f>IFERROR(INDEX($H$5:$H$104,MATCH(19,$N$5:$N$104,0)),"")</f>
        <v/>
      </c>
      <c r="C23" s="44">
        <f>IFERROR(INDEX($I$5:$I$104,MATCH(19,$N$5:$N$104,0)),"")</f>
        <v/>
      </c>
      <c r="D23" s="43">
        <f>IFERROR(INDEX($J$5:$J$104,MATCH(19,$N$5:$N$104,0)),"")</f>
        <v/>
      </c>
      <c r="E23" s="43">
        <f>IFERROR(INDEX($K$5:$K$104,MATCH(19,$N$5:$N$104,0)),"")</f>
        <v/>
      </c>
      <c r="F23" s="43">
        <f>IFERROR(INDEX($L$5:$L$104,MATCH(19,$N$5:$N$104,0)),"")</f>
        <v/>
      </c>
      <c r="H23">
        <f>IF(Allocation!B24="","",Allocation!B24)</f>
        <v/>
      </c>
      <c r="I23">
        <f>IF(Allocation!C24="","",Allocation!C24)</f>
        <v/>
      </c>
      <c r="J23">
        <f>IF(I23="","",SUMPRODUCT((Fixtures!D$5:D$76=I23)*(Fixtures!E$5:E$76&lt;&gt;"")*(Fixtures!F$5:F$76&lt;&gt;"")*((Fixtures!E$5:E$76&gt;Fixtures!F$5:F$76)*3+(Fixtures!E$5:E$76=Fixtures!F$5:F$76)*2))+SUMPRODUCT((Fixtures!G$5:G$76=I23)*(Fixtures!E$5:E$76&lt;&gt;"")*(Fixtures!F$5:F$76&lt;&gt;"")*((Fixtures!F$5:F$76&gt;Fixtures!E$5:E$76)*3+(Fixtures!E$5:E$76=Fixtures!F$5:F$76)*2)))</f>
        <v/>
      </c>
      <c r="K23">
        <f>IF(I23="","",COUNTIFS(Fixtures!D$5:D$76,I23,Fixtures!J$5:J$76,"W")+COUNTIFS(Fixtures!G$5:G$76,I23,Fixtures!K$5:K$76,"W"))</f>
        <v/>
      </c>
      <c r="L23">
        <f>IF(I23="","",COUNTIFS(Fixtures!D$5:D$76,I23,Fixtures!J$5:J$76,"D")+COUNTIFS(Fixtures!G$5:G$76,I23,Fixtures!K$5:K$76,"D"))</f>
        <v/>
      </c>
      <c r="M23">
        <f>IF(I23="","",SUMPRODUCT((Fixtures!D$5:D$76=I23)*(Fixtures!E$5:E$76&lt;&gt;"")*(Fixtures!F$5:F$76&lt;&gt;"")*(Fixtures!E$5:E$76-Fixtures!F$5:F$76))+SUMPRODUCT((Fixtures!G$5:G$76=I23)*(Fixtures!E$5:E$76&lt;&gt;"")*(Fixtures!F$5:F$76&lt;&gt;"")*(Fixtures!F$5:F$76-Fixtures!E$5:E$76)))</f>
        <v/>
      </c>
      <c r="N23">
        <f>IF(H23="","",COUNTIFS($J$5:$J$104,"&gt;"&amp;J23,$H$5:$H$104,"&lt;&gt;")+COUNTIFS($J$5:$J23,J23,$H$5:$H23,"&lt;&gt;"))</f>
        <v/>
      </c>
    </row>
    <row r="24">
      <c r="A24" s="43" t="n">
        <v>20</v>
      </c>
      <c r="B24" s="44">
        <f>IFERROR(INDEX($H$5:$H$104,MATCH(20,$N$5:$N$104,0)),"")</f>
        <v/>
      </c>
      <c r="C24" s="44">
        <f>IFERROR(INDEX($I$5:$I$104,MATCH(20,$N$5:$N$104,0)),"")</f>
        <v/>
      </c>
      <c r="D24" s="43">
        <f>IFERROR(INDEX($J$5:$J$104,MATCH(20,$N$5:$N$104,0)),"")</f>
        <v/>
      </c>
      <c r="E24" s="43">
        <f>IFERROR(INDEX($K$5:$K$104,MATCH(20,$N$5:$N$104,0)),"")</f>
        <v/>
      </c>
      <c r="F24" s="43">
        <f>IFERROR(INDEX($L$5:$L$104,MATCH(20,$N$5:$N$104,0)),"")</f>
        <v/>
      </c>
      <c r="H24">
        <f>IF(Allocation!B25="","",Allocation!B25)</f>
        <v/>
      </c>
      <c r="I24">
        <f>IF(Allocation!C25="","",Allocation!C25)</f>
        <v/>
      </c>
      <c r="J24">
        <f>IF(I24="","",SUMPRODUCT((Fixtures!D$5:D$76=I24)*(Fixtures!E$5:E$76&lt;&gt;"")*(Fixtures!F$5:F$76&lt;&gt;"")*((Fixtures!E$5:E$76&gt;Fixtures!F$5:F$76)*3+(Fixtures!E$5:E$76=Fixtures!F$5:F$76)*2))+SUMPRODUCT((Fixtures!G$5:G$76=I24)*(Fixtures!E$5:E$76&lt;&gt;"")*(Fixtures!F$5:F$76&lt;&gt;"")*((Fixtures!F$5:F$76&gt;Fixtures!E$5:E$76)*3+(Fixtures!E$5:E$76=Fixtures!F$5:F$76)*2)))</f>
        <v/>
      </c>
      <c r="K24">
        <f>IF(I24="","",COUNTIFS(Fixtures!D$5:D$76,I24,Fixtures!J$5:J$76,"W")+COUNTIFS(Fixtures!G$5:G$76,I24,Fixtures!K$5:K$76,"W"))</f>
        <v/>
      </c>
      <c r="L24">
        <f>IF(I24="","",COUNTIFS(Fixtures!D$5:D$76,I24,Fixtures!J$5:J$76,"D")+COUNTIFS(Fixtures!G$5:G$76,I24,Fixtures!K$5:K$76,"D"))</f>
        <v/>
      </c>
      <c r="M24">
        <f>IF(I24="","",SUMPRODUCT((Fixtures!D$5:D$76=I24)*(Fixtures!E$5:E$76&lt;&gt;"")*(Fixtures!F$5:F$76&lt;&gt;"")*(Fixtures!E$5:E$76-Fixtures!F$5:F$76))+SUMPRODUCT((Fixtures!G$5:G$76=I24)*(Fixtures!E$5:E$76&lt;&gt;"")*(Fixtures!F$5:F$76&lt;&gt;"")*(Fixtures!F$5:F$76-Fixtures!E$5:E$76)))</f>
        <v/>
      </c>
      <c r="N24">
        <f>IF(H24="","",COUNTIFS($J$5:$J$104,"&gt;"&amp;J24,$H$5:$H$104,"&lt;&gt;")+COUNTIFS($J$5:$J24,J24,$H$5:$H24,"&lt;&gt;"))</f>
        <v/>
      </c>
    </row>
    <row r="25">
      <c r="A25" s="43" t="n">
        <v>21</v>
      </c>
      <c r="B25" s="44">
        <f>IFERROR(INDEX($H$5:$H$104,MATCH(21,$N$5:$N$104,0)),"")</f>
        <v/>
      </c>
      <c r="C25" s="44">
        <f>IFERROR(INDEX($I$5:$I$104,MATCH(21,$N$5:$N$104,0)),"")</f>
        <v/>
      </c>
      <c r="D25" s="43">
        <f>IFERROR(INDEX($J$5:$J$104,MATCH(21,$N$5:$N$104,0)),"")</f>
        <v/>
      </c>
      <c r="E25" s="43">
        <f>IFERROR(INDEX($K$5:$K$104,MATCH(21,$N$5:$N$104,0)),"")</f>
        <v/>
      </c>
      <c r="F25" s="43">
        <f>IFERROR(INDEX($L$5:$L$104,MATCH(21,$N$5:$N$104,0)),"")</f>
        <v/>
      </c>
      <c r="H25">
        <f>IF(Allocation!B26="","",Allocation!B26)</f>
        <v/>
      </c>
      <c r="I25">
        <f>IF(Allocation!C26="","",Allocation!C26)</f>
        <v/>
      </c>
      <c r="J25">
        <f>IF(I25="","",SUMPRODUCT((Fixtures!D$5:D$76=I25)*(Fixtures!E$5:E$76&lt;&gt;"")*(Fixtures!F$5:F$76&lt;&gt;"")*((Fixtures!E$5:E$76&gt;Fixtures!F$5:F$76)*3+(Fixtures!E$5:E$76=Fixtures!F$5:F$76)*2))+SUMPRODUCT((Fixtures!G$5:G$76=I25)*(Fixtures!E$5:E$76&lt;&gt;"")*(Fixtures!F$5:F$76&lt;&gt;"")*((Fixtures!F$5:F$76&gt;Fixtures!E$5:E$76)*3+(Fixtures!E$5:E$76=Fixtures!F$5:F$76)*2)))</f>
        <v/>
      </c>
      <c r="K25">
        <f>IF(I25="","",COUNTIFS(Fixtures!D$5:D$76,I25,Fixtures!J$5:J$76,"W")+COUNTIFS(Fixtures!G$5:G$76,I25,Fixtures!K$5:K$76,"W"))</f>
        <v/>
      </c>
      <c r="L25">
        <f>IF(I25="","",COUNTIFS(Fixtures!D$5:D$76,I25,Fixtures!J$5:J$76,"D")+COUNTIFS(Fixtures!G$5:G$76,I25,Fixtures!K$5:K$76,"D"))</f>
        <v/>
      </c>
      <c r="M25">
        <f>IF(I25="","",SUMPRODUCT((Fixtures!D$5:D$76=I25)*(Fixtures!E$5:E$76&lt;&gt;"")*(Fixtures!F$5:F$76&lt;&gt;"")*(Fixtures!E$5:E$76-Fixtures!F$5:F$76))+SUMPRODUCT((Fixtures!G$5:G$76=I25)*(Fixtures!E$5:E$76&lt;&gt;"")*(Fixtures!F$5:F$76&lt;&gt;"")*(Fixtures!F$5:F$76-Fixtures!E$5:E$76)))</f>
        <v/>
      </c>
      <c r="N25">
        <f>IF(H25="","",COUNTIFS($J$5:$J$104,"&gt;"&amp;J25,$H$5:$H$104,"&lt;&gt;")+COUNTIFS($J$5:$J25,J25,$H$5:$H25,"&lt;&gt;"))</f>
        <v/>
      </c>
    </row>
    <row r="26">
      <c r="A26" s="43" t="n">
        <v>22</v>
      </c>
      <c r="B26" s="44">
        <f>IFERROR(INDEX($H$5:$H$104,MATCH(22,$N$5:$N$104,0)),"")</f>
        <v/>
      </c>
      <c r="C26" s="44">
        <f>IFERROR(INDEX($I$5:$I$104,MATCH(22,$N$5:$N$104,0)),"")</f>
        <v/>
      </c>
      <c r="D26" s="43">
        <f>IFERROR(INDEX($J$5:$J$104,MATCH(22,$N$5:$N$104,0)),"")</f>
        <v/>
      </c>
      <c r="E26" s="43">
        <f>IFERROR(INDEX($K$5:$K$104,MATCH(22,$N$5:$N$104,0)),"")</f>
        <v/>
      </c>
      <c r="F26" s="43">
        <f>IFERROR(INDEX($L$5:$L$104,MATCH(22,$N$5:$N$104,0)),"")</f>
        <v/>
      </c>
      <c r="H26">
        <f>IF(Allocation!B27="","",Allocation!B27)</f>
        <v/>
      </c>
      <c r="I26">
        <f>IF(Allocation!C27="","",Allocation!C27)</f>
        <v/>
      </c>
      <c r="J26">
        <f>IF(I26="","",SUMPRODUCT((Fixtures!D$5:D$76=I26)*(Fixtures!E$5:E$76&lt;&gt;"")*(Fixtures!F$5:F$76&lt;&gt;"")*((Fixtures!E$5:E$76&gt;Fixtures!F$5:F$76)*3+(Fixtures!E$5:E$76=Fixtures!F$5:F$76)*2))+SUMPRODUCT((Fixtures!G$5:G$76=I26)*(Fixtures!E$5:E$76&lt;&gt;"")*(Fixtures!F$5:F$76&lt;&gt;"")*((Fixtures!F$5:F$76&gt;Fixtures!E$5:E$76)*3+(Fixtures!E$5:E$76=Fixtures!F$5:F$76)*2)))</f>
        <v/>
      </c>
      <c r="K26">
        <f>IF(I26="","",COUNTIFS(Fixtures!D$5:D$76,I26,Fixtures!J$5:J$76,"W")+COUNTIFS(Fixtures!G$5:G$76,I26,Fixtures!K$5:K$76,"W"))</f>
        <v/>
      </c>
      <c r="L26">
        <f>IF(I26="","",COUNTIFS(Fixtures!D$5:D$76,I26,Fixtures!J$5:J$76,"D")+COUNTIFS(Fixtures!G$5:G$76,I26,Fixtures!K$5:K$76,"D"))</f>
        <v/>
      </c>
      <c r="M26">
        <f>IF(I26="","",SUMPRODUCT((Fixtures!D$5:D$76=I26)*(Fixtures!E$5:E$76&lt;&gt;"")*(Fixtures!F$5:F$76&lt;&gt;"")*(Fixtures!E$5:E$76-Fixtures!F$5:F$76))+SUMPRODUCT((Fixtures!G$5:G$76=I26)*(Fixtures!E$5:E$76&lt;&gt;"")*(Fixtures!F$5:F$76&lt;&gt;"")*(Fixtures!F$5:F$76-Fixtures!E$5:E$76)))</f>
        <v/>
      </c>
      <c r="N26">
        <f>IF(H26="","",COUNTIFS($J$5:$J$104,"&gt;"&amp;J26,$H$5:$H$104,"&lt;&gt;")+COUNTIFS($J$5:$J26,J26,$H$5:$H26,"&lt;&gt;"))</f>
        <v/>
      </c>
    </row>
    <row r="27">
      <c r="A27" s="43" t="n">
        <v>23</v>
      </c>
      <c r="B27" s="44">
        <f>IFERROR(INDEX($H$5:$H$104,MATCH(23,$N$5:$N$104,0)),"")</f>
        <v/>
      </c>
      <c r="C27" s="44">
        <f>IFERROR(INDEX($I$5:$I$104,MATCH(23,$N$5:$N$104,0)),"")</f>
        <v/>
      </c>
      <c r="D27" s="43">
        <f>IFERROR(INDEX($J$5:$J$104,MATCH(23,$N$5:$N$104,0)),"")</f>
        <v/>
      </c>
      <c r="E27" s="43">
        <f>IFERROR(INDEX($K$5:$K$104,MATCH(23,$N$5:$N$104,0)),"")</f>
        <v/>
      </c>
      <c r="F27" s="43">
        <f>IFERROR(INDEX($L$5:$L$104,MATCH(23,$N$5:$N$104,0)),"")</f>
        <v/>
      </c>
      <c r="H27">
        <f>IF(Allocation!B28="","",Allocation!B28)</f>
        <v/>
      </c>
      <c r="I27">
        <f>IF(Allocation!C28="","",Allocation!C28)</f>
        <v/>
      </c>
      <c r="J27">
        <f>IF(I27="","",SUMPRODUCT((Fixtures!D$5:D$76=I27)*(Fixtures!E$5:E$76&lt;&gt;"")*(Fixtures!F$5:F$76&lt;&gt;"")*((Fixtures!E$5:E$76&gt;Fixtures!F$5:F$76)*3+(Fixtures!E$5:E$76=Fixtures!F$5:F$76)*2))+SUMPRODUCT((Fixtures!G$5:G$76=I27)*(Fixtures!E$5:E$76&lt;&gt;"")*(Fixtures!F$5:F$76&lt;&gt;"")*((Fixtures!F$5:F$76&gt;Fixtures!E$5:E$76)*3+(Fixtures!E$5:E$76=Fixtures!F$5:F$76)*2)))</f>
        <v/>
      </c>
      <c r="K27">
        <f>IF(I27="","",COUNTIFS(Fixtures!D$5:D$76,I27,Fixtures!J$5:J$76,"W")+COUNTIFS(Fixtures!G$5:G$76,I27,Fixtures!K$5:K$76,"W"))</f>
        <v/>
      </c>
      <c r="L27">
        <f>IF(I27="","",COUNTIFS(Fixtures!D$5:D$76,I27,Fixtures!J$5:J$76,"D")+COUNTIFS(Fixtures!G$5:G$76,I27,Fixtures!K$5:K$76,"D"))</f>
        <v/>
      </c>
      <c r="M27">
        <f>IF(I27="","",SUMPRODUCT((Fixtures!D$5:D$76=I27)*(Fixtures!E$5:E$76&lt;&gt;"")*(Fixtures!F$5:F$76&lt;&gt;"")*(Fixtures!E$5:E$76-Fixtures!F$5:F$76))+SUMPRODUCT((Fixtures!G$5:G$76=I27)*(Fixtures!E$5:E$76&lt;&gt;"")*(Fixtures!F$5:F$76&lt;&gt;"")*(Fixtures!F$5:F$76-Fixtures!E$5:E$76)))</f>
        <v/>
      </c>
      <c r="N27">
        <f>IF(H27="","",COUNTIFS($J$5:$J$104,"&gt;"&amp;J27,$H$5:$H$104,"&lt;&gt;")+COUNTIFS($J$5:$J27,J27,$H$5:$H27,"&lt;&gt;"))</f>
        <v/>
      </c>
    </row>
    <row r="28">
      <c r="A28" s="43" t="n">
        <v>24</v>
      </c>
      <c r="B28" s="44">
        <f>IFERROR(INDEX($H$5:$H$104,MATCH(24,$N$5:$N$104,0)),"")</f>
        <v/>
      </c>
      <c r="C28" s="44">
        <f>IFERROR(INDEX($I$5:$I$104,MATCH(24,$N$5:$N$104,0)),"")</f>
        <v/>
      </c>
      <c r="D28" s="43">
        <f>IFERROR(INDEX($J$5:$J$104,MATCH(24,$N$5:$N$104,0)),"")</f>
        <v/>
      </c>
      <c r="E28" s="43">
        <f>IFERROR(INDEX($K$5:$K$104,MATCH(24,$N$5:$N$104,0)),"")</f>
        <v/>
      </c>
      <c r="F28" s="43">
        <f>IFERROR(INDEX($L$5:$L$104,MATCH(24,$N$5:$N$104,0)),"")</f>
        <v/>
      </c>
      <c r="H28">
        <f>IF(Allocation!B29="","",Allocation!B29)</f>
        <v/>
      </c>
      <c r="I28">
        <f>IF(Allocation!C29="","",Allocation!C29)</f>
        <v/>
      </c>
      <c r="J28">
        <f>IF(I28="","",SUMPRODUCT((Fixtures!D$5:D$76=I28)*(Fixtures!E$5:E$76&lt;&gt;"")*(Fixtures!F$5:F$76&lt;&gt;"")*((Fixtures!E$5:E$76&gt;Fixtures!F$5:F$76)*3+(Fixtures!E$5:E$76=Fixtures!F$5:F$76)*2))+SUMPRODUCT((Fixtures!G$5:G$76=I28)*(Fixtures!E$5:E$76&lt;&gt;"")*(Fixtures!F$5:F$76&lt;&gt;"")*((Fixtures!F$5:F$76&gt;Fixtures!E$5:E$76)*3+(Fixtures!E$5:E$76=Fixtures!F$5:F$76)*2)))</f>
        <v/>
      </c>
      <c r="K28">
        <f>IF(I28="","",COUNTIFS(Fixtures!D$5:D$76,I28,Fixtures!J$5:J$76,"W")+COUNTIFS(Fixtures!G$5:G$76,I28,Fixtures!K$5:K$76,"W"))</f>
        <v/>
      </c>
      <c r="L28">
        <f>IF(I28="","",COUNTIFS(Fixtures!D$5:D$76,I28,Fixtures!J$5:J$76,"D")+COUNTIFS(Fixtures!G$5:G$76,I28,Fixtures!K$5:K$76,"D"))</f>
        <v/>
      </c>
      <c r="M28">
        <f>IF(I28="","",SUMPRODUCT((Fixtures!D$5:D$76=I28)*(Fixtures!E$5:E$76&lt;&gt;"")*(Fixtures!F$5:F$76&lt;&gt;"")*(Fixtures!E$5:E$76-Fixtures!F$5:F$76))+SUMPRODUCT((Fixtures!G$5:G$76=I28)*(Fixtures!E$5:E$76&lt;&gt;"")*(Fixtures!F$5:F$76&lt;&gt;"")*(Fixtures!F$5:F$76-Fixtures!E$5:E$76)))</f>
        <v/>
      </c>
      <c r="N28">
        <f>IF(H28="","",COUNTIFS($J$5:$J$104,"&gt;"&amp;J28,$H$5:$H$104,"&lt;&gt;")+COUNTIFS($J$5:$J28,J28,$H$5:$H28,"&lt;&gt;"))</f>
        <v/>
      </c>
    </row>
    <row r="29">
      <c r="A29" s="43" t="n">
        <v>25</v>
      </c>
      <c r="B29" s="44">
        <f>IFERROR(INDEX($H$5:$H$104,MATCH(25,$N$5:$N$104,0)),"")</f>
        <v/>
      </c>
      <c r="C29" s="44">
        <f>IFERROR(INDEX($I$5:$I$104,MATCH(25,$N$5:$N$104,0)),"")</f>
        <v/>
      </c>
      <c r="D29" s="43">
        <f>IFERROR(INDEX($J$5:$J$104,MATCH(25,$N$5:$N$104,0)),"")</f>
        <v/>
      </c>
      <c r="E29" s="43">
        <f>IFERROR(INDEX($K$5:$K$104,MATCH(25,$N$5:$N$104,0)),"")</f>
        <v/>
      </c>
      <c r="F29" s="43">
        <f>IFERROR(INDEX($L$5:$L$104,MATCH(25,$N$5:$N$104,0)),"")</f>
        <v/>
      </c>
      <c r="H29">
        <f>IF(Allocation!B30="","",Allocation!B30)</f>
        <v/>
      </c>
      <c r="I29">
        <f>IF(Allocation!C30="","",Allocation!C30)</f>
        <v/>
      </c>
      <c r="J29">
        <f>IF(I29="","",SUMPRODUCT((Fixtures!D$5:D$76=I29)*(Fixtures!E$5:E$76&lt;&gt;"")*(Fixtures!F$5:F$76&lt;&gt;"")*((Fixtures!E$5:E$76&gt;Fixtures!F$5:F$76)*3+(Fixtures!E$5:E$76=Fixtures!F$5:F$76)*2))+SUMPRODUCT((Fixtures!G$5:G$76=I29)*(Fixtures!E$5:E$76&lt;&gt;"")*(Fixtures!F$5:F$76&lt;&gt;"")*((Fixtures!F$5:F$76&gt;Fixtures!E$5:E$76)*3+(Fixtures!E$5:E$76=Fixtures!F$5:F$76)*2)))</f>
        <v/>
      </c>
      <c r="K29">
        <f>IF(I29="","",COUNTIFS(Fixtures!D$5:D$76,I29,Fixtures!J$5:J$76,"W")+COUNTIFS(Fixtures!G$5:G$76,I29,Fixtures!K$5:K$76,"W"))</f>
        <v/>
      </c>
      <c r="L29">
        <f>IF(I29="","",COUNTIFS(Fixtures!D$5:D$76,I29,Fixtures!J$5:J$76,"D")+COUNTIFS(Fixtures!G$5:G$76,I29,Fixtures!K$5:K$76,"D"))</f>
        <v/>
      </c>
      <c r="M29">
        <f>IF(I29="","",SUMPRODUCT((Fixtures!D$5:D$76=I29)*(Fixtures!E$5:E$76&lt;&gt;"")*(Fixtures!F$5:F$76&lt;&gt;"")*(Fixtures!E$5:E$76-Fixtures!F$5:F$76))+SUMPRODUCT((Fixtures!G$5:G$76=I29)*(Fixtures!E$5:E$76&lt;&gt;"")*(Fixtures!F$5:F$76&lt;&gt;"")*(Fixtures!F$5:F$76-Fixtures!E$5:E$76)))</f>
        <v/>
      </c>
      <c r="N29">
        <f>IF(H29="","",COUNTIFS($J$5:$J$104,"&gt;"&amp;J29,$H$5:$H$104,"&lt;&gt;")+COUNTIFS($J$5:$J29,J29,$H$5:$H29,"&lt;&gt;"))</f>
        <v/>
      </c>
    </row>
    <row r="30">
      <c r="A30" s="43" t="n">
        <v>26</v>
      </c>
      <c r="B30" s="44">
        <f>IFERROR(INDEX($H$5:$H$104,MATCH(26,$N$5:$N$104,0)),"")</f>
        <v/>
      </c>
      <c r="C30" s="44">
        <f>IFERROR(INDEX($I$5:$I$104,MATCH(26,$N$5:$N$104,0)),"")</f>
        <v/>
      </c>
      <c r="D30" s="43">
        <f>IFERROR(INDEX($J$5:$J$104,MATCH(26,$N$5:$N$104,0)),"")</f>
        <v/>
      </c>
      <c r="E30" s="43">
        <f>IFERROR(INDEX($K$5:$K$104,MATCH(26,$N$5:$N$104,0)),"")</f>
        <v/>
      </c>
      <c r="F30" s="43">
        <f>IFERROR(INDEX($L$5:$L$104,MATCH(26,$N$5:$N$104,0)),"")</f>
        <v/>
      </c>
      <c r="H30">
        <f>IF(Allocation!B31="","",Allocation!B31)</f>
        <v/>
      </c>
      <c r="I30">
        <f>IF(Allocation!C31="","",Allocation!C31)</f>
        <v/>
      </c>
      <c r="J30">
        <f>IF(I30="","",SUMPRODUCT((Fixtures!D$5:D$76=I30)*(Fixtures!E$5:E$76&lt;&gt;"")*(Fixtures!F$5:F$76&lt;&gt;"")*((Fixtures!E$5:E$76&gt;Fixtures!F$5:F$76)*3+(Fixtures!E$5:E$76=Fixtures!F$5:F$76)*2))+SUMPRODUCT((Fixtures!G$5:G$76=I30)*(Fixtures!E$5:E$76&lt;&gt;"")*(Fixtures!F$5:F$76&lt;&gt;"")*((Fixtures!F$5:F$76&gt;Fixtures!E$5:E$76)*3+(Fixtures!E$5:E$76=Fixtures!F$5:F$76)*2)))</f>
        <v/>
      </c>
      <c r="K30">
        <f>IF(I30="","",COUNTIFS(Fixtures!D$5:D$76,I30,Fixtures!J$5:J$76,"W")+COUNTIFS(Fixtures!G$5:G$76,I30,Fixtures!K$5:K$76,"W"))</f>
        <v/>
      </c>
      <c r="L30">
        <f>IF(I30="","",COUNTIFS(Fixtures!D$5:D$76,I30,Fixtures!J$5:J$76,"D")+COUNTIFS(Fixtures!G$5:G$76,I30,Fixtures!K$5:K$76,"D"))</f>
        <v/>
      </c>
      <c r="M30">
        <f>IF(I30="","",SUMPRODUCT((Fixtures!D$5:D$76=I30)*(Fixtures!E$5:E$76&lt;&gt;"")*(Fixtures!F$5:F$76&lt;&gt;"")*(Fixtures!E$5:E$76-Fixtures!F$5:F$76))+SUMPRODUCT((Fixtures!G$5:G$76=I30)*(Fixtures!E$5:E$76&lt;&gt;"")*(Fixtures!F$5:F$76&lt;&gt;"")*(Fixtures!F$5:F$76-Fixtures!E$5:E$76)))</f>
        <v/>
      </c>
      <c r="N30">
        <f>IF(H30="","",COUNTIFS($J$5:$J$104,"&gt;"&amp;J30,$H$5:$H$104,"&lt;&gt;")+COUNTIFS($J$5:$J30,J30,$H$5:$H30,"&lt;&gt;"))</f>
        <v/>
      </c>
    </row>
    <row r="31">
      <c r="A31" s="43" t="n">
        <v>27</v>
      </c>
      <c r="B31" s="44">
        <f>IFERROR(INDEX($H$5:$H$104,MATCH(27,$N$5:$N$104,0)),"")</f>
        <v/>
      </c>
      <c r="C31" s="44">
        <f>IFERROR(INDEX($I$5:$I$104,MATCH(27,$N$5:$N$104,0)),"")</f>
        <v/>
      </c>
      <c r="D31" s="43">
        <f>IFERROR(INDEX($J$5:$J$104,MATCH(27,$N$5:$N$104,0)),"")</f>
        <v/>
      </c>
      <c r="E31" s="43">
        <f>IFERROR(INDEX($K$5:$K$104,MATCH(27,$N$5:$N$104,0)),"")</f>
        <v/>
      </c>
      <c r="F31" s="43">
        <f>IFERROR(INDEX($L$5:$L$104,MATCH(27,$N$5:$N$104,0)),"")</f>
        <v/>
      </c>
      <c r="H31">
        <f>IF(Allocation!B32="","",Allocation!B32)</f>
        <v/>
      </c>
      <c r="I31">
        <f>IF(Allocation!C32="","",Allocation!C32)</f>
        <v/>
      </c>
      <c r="J31">
        <f>IF(I31="","",SUMPRODUCT((Fixtures!D$5:D$76=I31)*(Fixtures!E$5:E$76&lt;&gt;"")*(Fixtures!F$5:F$76&lt;&gt;"")*((Fixtures!E$5:E$76&gt;Fixtures!F$5:F$76)*3+(Fixtures!E$5:E$76=Fixtures!F$5:F$76)*2))+SUMPRODUCT((Fixtures!G$5:G$76=I31)*(Fixtures!E$5:E$76&lt;&gt;"")*(Fixtures!F$5:F$76&lt;&gt;"")*((Fixtures!F$5:F$76&gt;Fixtures!E$5:E$76)*3+(Fixtures!E$5:E$76=Fixtures!F$5:F$76)*2)))</f>
        <v/>
      </c>
      <c r="K31">
        <f>IF(I31="","",COUNTIFS(Fixtures!D$5:D$76,I31,Fixtures!J$5:J$76,"W")+COUNTIFS(Fixtures!G$5:G$76,I31,Fixtures!K$5:K$76,"W"))</f>
        <v/>
      </c>
      <c r="L31">
        <f>IF(I31="","",COUNTIFS(Fixtures!D$5:D$76,I31,Fixtures!J$5:J$76,"D")+COUNTIFS(Fixtures!G$5:G$76,I31,Fixtures!K$5:K$76,"D"))</f>
        <v/>
      </c>
      <c r="M31">
        <f>IF(I31="","",SUMPRODUCT((Fixtures!D$5:D$76=I31)*(Fixtures!E$5:E$76&lt;&gt;"")*(Fixtures!F$5:F$76&lt;&gt;"")*(Fixtures!E$5:E$76-Fixtures!F$5:F$76))+SUMPRODUCT((Fixtures!G$5:G$76=I31)*(Fixtures!E$5:E$76&lt;&gt;"")*(Fixtures!F$5:F$76&lt;&gt;"")*(Fixtures!F$5:F$76-Fixtures!E$5:E$76)))</f>
        <v/>
      </c>
      <c r="N31">
        <f>IF(H31="","",COUNTIFS($J$5:$J$104,"&gt;"&amp;J31,$H$5:$H$104,"&lt;&gt;")+COUNTIFS($J$5:$J31,J31,$H$5:$H31,"&lt;&gt;"))</f>
        <v/>
      </c>
    </row>
    <row r="32">
      <c r="A32" s="43" t="n">
        <v>28</v>
      </c>
      <c r="B32" s="44">
        <f>IFERROR(INDEX($H$5:$H$104,MATCH(28,$N$5:$N$104,0)),"")</f>
        <v/>
      </c>
      <c r="C32" s="44">
        <f>IFERROR(INDEX($I$5:$I$104,MATCH(28,$N$5:$N$104,0)),"")</f>
        <v/>
      </c>
      <c r="D32" s="43">
        <f>IFERROR(INDEX($J$5:$J$104,MATCH(28,$N$5:$N$104,0)),"")</f>
        <v/>
      </c>
      <c r="E32" s="43">
        <f>IFERROR(INDEX($K$5:$K$104,MATCH(28,$N$5:$N$104,0)),"")</f>
        <v/>
      </c>
      <c r="F32" s="43">
        <f>IFERROR(INDEX($L$5:$L$104,MATCH(28,$N$5:$N$104,0)),"")</f>
        <v/>
      </c>
      <c r="H32">
        <f>IF(Allocation!B33="","",Allocation!B33)</f>
        <v/>
      </c>
      <c r="I32">
        <f>IF(Allocation!C33="","",Allocation!C33)</f>
        <v/>
      </c>
      <c r="J32">
        <f>IF(I32="","",SUMPRODUCT((Fixtures!D$5:D$76=I32)*(Fixtures!E$5:E$76&lt;&gt;"")*(Fixtures!F$5:F$76&lt;&gt;"")*((Fixtures!E$5:E$76&gt;Fixtures!F$5:F$76)*3+(Fixtures!E$5:E$76=Fixtures!F$5:F$76)*2))+SUMPRODUCT((Fixtures!G$5:G$76=I32)*(Fixtures!E$5:E$76&lt;&gt;"")*(Fixtures!F$5:F$76&lt;&gt;"")*((Fixtures!F$5:F$76&gt;Fixtures!E$5:E$76)*3+(Fixtures!E$5:E$76=Fixtures!F$5:F$76)*2)))</f>
        <v/>
      </c>
      <c r="K32">
        <f>IF(I32="","",COUNTIFS(Fixtures!D$5:D$76,I32,Fixtures!J$5:J$76,"W")+COUNTIFS(Fixtures!G$5:G$76,I32,Fixtures!K$5:K$76,"W"))</f>
        <v/>
      </c>
      <c r="L32">
        <f>IF(I32="","",COUNTIFS(Fixtures!D$5:D$76,I32,Fixtures!J$5:J$76,"D")+COUNTIFS(Fixtures!G$5:G$76,I32,Fixtures!K$5:K$76,"D"))</f>
        <v/>
      </c>
      <c r="M32">
        <f>IF(I32="","",SUMPRODUCT((Fixtures!D$5:D$76=I32)*(Fixtures!E$5:E$76&lt;&gt;"")*(Fixtures!F$5:F$76&lt;&gt;"")*(Fixtures!E$5:E$76-Fixtures!F$5:F$76))+SUMPRODUCT((Fixtures!G$5:G$76=I32)*(Fixtures!E$5:E$76&lt;&gt;"")*(Fixtures!F$5:F$76&lt;&gt;"")*(Fixtures!F$5:F$76-Fixtures!E$5:E$76)))</f>
        <v/>
      </c>
      <c r="N32">
        <f>IF(H32="","",COUNTIFS($J$5:$J$104,"&gt;"&amp;J32,$H$5:$H$104,"&lt;&gt;")+COUNTIFS($J$5:$J32,J32,$H$5:$H32,"&lt;&gt;"))</f>
        <v/>
      </c>
    </row>
    <row r="33">
      <c r="A33" s="43" t="n">
        <v>29</v>
      </c>
      <c r="B33" s="44">
        <f>IFERROR(INDEX($H$5:$H$104,MATCH(29,$N$5:$N$104,0)),"")</f>
        <v/>
      </c>
      <c r="C33" s="44">
        <f>IFERROR(INDEX($I$5:$I$104,MATCH(29,$N$5:$N$104,0)),"")</f>
        <v/>
      </c>
      <c r="D33" s="43">
        <f>IFERROR(INDEX($J$5:$J$104,MATCH(29,$N$5:$N$104,0)),"")</f>
        <v/>
      </c>
      <c r="E33" s="43">
        <f>IFERROR(INDEX($K$5:$K$104,MATCH(29,$N$5:$N$104,0)),"")</f>
        <v/>
      </c>
      <c r="F33" s="43">
        <f>IFERROR(INDEX($L$5:$L$104,MATCH(29,$N$5:$N$104,0)),"")</f>
        <v/>
      </c>
      <c r="H33">
        <f>IF(Allocation!B34="","",Allocation!B34)</f>
        <v/>
      </c>
      <c r="I33">
        <f>IF(Allocation!C34="","",Allocation!C34)</f>
        <v/>
      </c>
      <c r="J33">
        <f>IF(I33="","",SUMPRODUCT((Fixtures!D$5:D$76=I33)*(Fixtures!E$5:E$76&lt;&gt;"")*(Fixtures!F$5:F$76&lt;&gt;"")*((Fixtures!E$5:E$76&gt;Fixtures!F$5:F$76)*3+(Fixtures!E$5:E$76=Fixtures!F$5:F$76)*2))+SUMPRODUCT((Fixtures!G$5:G$76=I33)*(Fixtures!E$5:E$76&lt;&gt;"")*(Fixtures!F$5:F$76&lt;&gt;"")*((Fixtures!F$5:F$76&gt;Fixtures!E$5:E$76)*3+(Fixtures!E$5:E$76=Fixtures!F$5:F$76)*2)))</f>
        <v/>
      </c>
      <c r="K33">
        <f>IF(I33="","",COUNTIFS(Fixtures!D$5:D$76,I33,Fixtures!J$5:J$76,"W")+COUNTIFS(Fixtures!G$5:G$76,I33,Fixtures!K$5:K$76,"W"))</f>
        <v/>
      </c>
      <c r="L33">
        <f>IF(I33="","",COUNTIFS(Fixtures!D$5:D$76,I33,Fixtures!J$5:J$76,"D")+COUNTIFS(Fixtures!G$5:G$76,I33,Fixtures!K$5:K$76,"D"))</f>
        <v/>
      </c>
      <c r="M33">
        <f>IF(I33="","",SUMPRODUCT((Fixtures!D$5:D$76=I33)*(Fixtures!E$5:E$76&lt;&gt;"")*(Fixtures!F$5:F$76&lt;&gt;"")*(Fixtures!E$5:E$76-Fixtures!F$5:F$76))+SUMPRODUCT((Fixtures!G$5:G$76=I33)*(Fixtures!E$5:E$76&lt;&gt;"")*(Fixtures!F$5:F$76&lt;&gt;"")*(Fixtures!F$5:F$76-Fixtures!E$5:E$76)))</f>
        <v/>
      </c>
      <c r="N33">
        <f>IF(H33="","",COUNTIFS($J$5:$J$104,"&gt;"&amp;J33,$H$5:$H$104,"&lt;&gt;")+COUNTIFS($J$5:$J33,J33,$H$5:$H33,"&lt;&gt;"))</f>
        <v/>
      </c>
    </row>
    <row r="34">
      <c r="A34" s="43" t="n">
        <v>30</v>
      </c>
      <c r="B34" s="44">
        <f>IFERROR(INDEX($H$5:$H$104,MATCH(30,$N$5:$N$104,0)),"")</f>
        <v/>
      </c>
      <c r="C34" s="44">
        <f>IFERROR(INDEX($I$5:$I$104,MATCH(30,$N$5:$N$104,0)),"")</f>
        <v/>
      </c>
      <c r="D34" s="43">
        <f>IFERROR(INDEX($J$5:$J$104,MATCH(30,$N$5:$N$104,0)),"")</f>
        <v/>
      </c>
      <c r="E34" s="43">
        <f>IFERROR(INDEX($K$5:$K$104,MATCH(30,$N$5:$N$104,0)),"")</f>
        <v/>
      </c>
      <c r="F34" s="43">
        <f>IFERROR(INDEX($L$5:$L$104,MATCH(30,$N$5:$N$104,0)),"")</f>
        <v/>
      </c>
      <c r="H34">
        <f>IF(Allocation!B35="","",Allocation!B35)</f>
        <v/>
      </c>
      <c r="I34">
        <f>IF(Allocation!C35="","",Allocation!C35)</f>
        <v/>
      </c>
      <c r="J34">
        <f>IF(I34="","",SUMPRODUCT((Fixtures!D$5:D$76=I34)*(Fixtures!E$5:E$76&lt;&gt;"")*(Fixtures!F$5:F$76&lt;&gt;"")*((Fixtures!E$5:E$76&gt;Fixtures!F$5:F$76)*3+(Fixtures!E$5:E$76=Fixtures!F$5:F$76)*2))+SUMPRODUCT((Fixtures!G$5:G$76=I34)*(Fixtures!E$5:E$76&lt;&gt;"")*(Fixtures!F$5:F$76&lt;&gt;"")*((Fixtures!F$5:F$76&gt;Fixtures!E$5:E$76)*3+(Fixtures!E$5:E$76=Fixtures!F$5:F$76)*2)))</f>
        <v/>
      </c>
      <c r="K34">
        <f>IF(I34="","",COUNTIFS(Fixtures!D$5:D$76,I34,Fixtures!J$5:J$76,"W")+COUNTIFS(Fixtures!G$5:G$76,I34,Fixtures!K$5:K$76,"W"))</f>
        <v/>
      </c>
      <c r="L34">
        <f>IF(I34="","",COUNTIFS(Fixtures!D$5:D$76,I34,Fixtures!J$5:J$76,"D")+COUNTIFS(Fixtures!G$5:G$76,I34,Fixtures!K$5:K$76,"D"))</f>
        <v/>
      </c>
      <c r="M34">
        <f>IF(I34="","",SUMPRODUCT((Fixtures!D$5:D$76=I34)*(Fixtures!E$5:E$76&lt;&gt;"")*(Fixtures!F$5:F$76&lt;&gt;"")*(Fixtures!E$5:E$76-Fixtures!F$5:F$76))+SUMPRODUCT((Fixtures!G$5:G$76=I34)*(Fixtures!E$5:E$76&lt;&gt;"")*(Fixtures!F$5:F$76&lt;&gt;"")*(Fixtures!F$5:F$76-Fixtures!E$5:E$76)))</f>
        <v/>
      </c>
      <c r="N34">
        <f>IF(H34="","",COUNTIFS($J$5:$J$104,"&gt;"&amp;J34,$H$5:$H$104,"&lt;&gt;")+COUNTIFS($J$5:$J34,J34,$H$5:$H34,"&lt;&gt;"))</f>
        <v/>
      </c>
    </row>
    <row r="35">
      <c r="A35" s="43" t="n">
        <v>31</v>
      </c>
      <c r="B35" s="44">
        <f>IFERROR(INDEX($H$5:$H$104,MATCH(31,$N$5:$N$104,0)),"")</f>
        <v/>
      </c>
      <c r="C35" s="44">
        <f>IFERROR(INDEX($I$5:$I$104,MATCH(31,$N$5:$N$104,0)),"")</f>
        <v/>
      </c>
      <c r="D35" s="43">
        <f>IFERROR(INDEX($J$5:$J$104,MATCH(31,$N$5:$N$104,0)),"")</f>
        <v/>
      </c>
      <c r="E35" s="43">
        <f>IFERROR(INDEX($K$5:$K$104,MATCH(31,$N$5:$N$104,0)),"")</f>
        <v/>
      </c>
      <c r="F35" s="43">
        <f>IFERROR(INDEX($L$5:$L$104,MATCH(31,$N$5:$N$104,0)),"")</f>
        <v/>
      </c>
      <c r="H35">
        <f>IF(Allocation!B36="","",Allocation!B36)</f>
        <v/>
      </c>
      <c r="I35">
        <f>IF(Allocation!C36="","",Allocation!C36)</f>
        <v/>
      </c>
      <c r="J35">
        <f>IF(I35="","",SUMPRODUCT((Fixtures!D$5:D$76=I35)*(Fixtures!E$5:E$76&lt;&gt;"")*(Fixtures!F$5:F$76&lt;&gt;"")*((Fixtures!E$5:E$76&gt;Fixtures!F$5:F$76)*3+(Fixtures!E$5:E$76=Fixtures!F$5:F$76)*2))+SUMPRODUCT((Fixtures!G$5:G$76=I35)*(Fixtures!E$5:E$76&lt;&gt;"")*(Fixtures!F$5:F$76&lt;&gt;"")*((Fixtures!F$5:F$76&gt;Fixtures!E$5:E$76)*3+(Fixtures!E$5:E$76=Fixtures!F$5:F$76)*2)))</f>
        <v/>
      </c>
      <c r="K35">
        <f>IF(I35="","",COUNTIFS(Fixtures!D$5:D$76,I35,Fixtures!J$5:J$76,"W")+COUNTIFS(Fixtures!G$5:G$76,I35,Fixtures!K$5:K$76,"W"))</f>
        <v/>
      </c>
      <c r="L35">
        <f>IF(I35="","",COUNTIFS(Fixtures!D$5:D$76,I35,Fixtures!J$5:J$76,"D")+COUNTIFS(Fixtures!G$5:G$76,I35,Fixtures!K$5:K$76,"D"))</f>
        <v/>
      </c>
      <c r="M35">
        <f>IF(I35="","",SUMPRODUCT((Fixtures!D$5:D$76=I35)*(Fixtures!E$5:E$76&lt;&gt;"")*(Fixtures!F$5:F$76&lt;&gt;"")*(Fixtures!E$5:E$76-Fixtures!F$5:F$76))+SUMPRODUCT((Fixtures!G$5:G$76=I35)*(Fixtures!E$5:E$76&lt;&gt;"")*(Fixtures!F$5:F$76&lt;&gt;"")*(Fixtures!F$5:F$76-Fixtures!E$5:E$76)))</f>
        <v/>
      </c>
      <c r="N35">
        <f>IF(H35="","",COUNTIFS($J$5:$J$104,"&gt;"&amp;J35,$H$5:$H$104,"&lt;&gt;")+COUNTIFS($J$5:$J35,J35,$H$5:$H35,"&lt;&gt;"))</f>
        <v/>
      </c>
    </row>
    <row r="36">
      <c r="A36" s="43" t="n">
        <v>32</v>
      </c>
      <c r="B36" s="44">
        <f>IFERROR(INDEX($H$5:$H$104,MATCH(32,$N$5:$N$104,0)),"")</f>
        <v/>
      </c>
      <c r="C36" s="44">
        <f>IFERROR(INDEX($I$5:$I$104,MATCH(32,$N$5:$N$104,0)),"")</f>
        <v/>
      </c>
      <c r="D36" s="43">
        <f>IFERROR(INDEX($J$5:$J$104,MATCH(32,$N$5:$N$104,0)),"")</f>
        <v/>
      </c>
      <c r="E36" s="43">
        <f>IFERROR(INDEX($K$5:$K$104,MATCH(32,$N$5:$N$104,0)),"")</f>
        <v/>
      </c>
      <c r="F36" s="43">
        <f>IFERROR(INDEX($L$5:$L$104,MATCH(32,$N$5:$N$104,0)),"")</f>
        <v/>
      </c>
      <c r="H36">
        <f>IF(Allocation!B37="","",Allocation!B37)</f>
        <v/>
      </c>
      <c r="I36">
        <f>IF(Allocation!C37="","",Allocation!C37)</f>
        <v/>
      </c>
      <c r="J36">
        <f>IF(I36="","",SUMPRODUCT((Fixtures!D$5:D$76=I36)*(Fixtures!E$5:E$76&lt;&gt;"")*(Fixtures!F$5:F$76&lt;&gt;"")*((Fixtures!E$5:E$76&gt;Fixtures!F$5:F$76)*3+(Fixtures!E$5:E$76=Fixtures!F$5:F$76)*2))+SUMPRODUCT((Fixtures!G$5:G$76=I36)*(Fixtures!E$5:E$76&lt;&gt;"")*(Fixtures!F$5:F$76&lt;&gt;"")*((Fixtures!F$5:F$76&gt;Fixtures!E$5:E$76)*3+(Fixtures!E$5:E$76=Fixtures!F$5:F$76)*2)))</f>
        <v/>
      </c>
      <c r="K36">
        <f>IF(I36="","",COUNTIFS(Fixtures!D$5:D$76,I36,Fixtures!J$5:J$76,"W")+COUNTIFS(Fixtures!G$5:G$76,I36,Fixtures!K$5:K$76,"W"))</f>
        <v/>
      </c>
      <c r="L36">
        <f>IF(I36="","",COUNTIFS(Fixtures!D$5:D$76,I36,Fixtures!J$5:J$76,"D")+COUNTIFS(Fixtures!G$5:G$76,I36,Fixtures!K$5:K$76,"D"))</f>
        <v/>
      </c>
      <c r="M36">
        <f>IF(I36="","",SUMPRODUCT((Fixtures!D$5:D$76=I36)*(Fixtures!E$5:E$76&lt;&gt;"")*(Fixtures!F$5:F$76&lt;&gt;"")*(Fixtures!E$5:E$76-Fixtures!F$5:F$76))+SUMPRODUCT((Fixtures!G$5:G$76=I36)*(Fixtures!E$5:E$76&lt;&gt;"")*(Fixtures!F$5:F$76&lt;&gt;"")*(Fixtures!F$5:F$76-Fixtures!E$5:E$76)))</f>
        <v/>
      </c>
      <c r="N36">
        <f>IF(H36="","",COUNTIFS($J$5:$J$104,"&gt;"&amp;J36,$H$5:$H$104,"&lt;&gt;")+COUNTIFS($J$5:$J36,J36,$H$5:$H36,"&lt;&gt;"))</f>
        <v/>
      </c>
    </row>
    <row r="37">
      <c r="A37" s="43" t="n">
        <v>33</v>
      </c>
      <c r="B37" s="44">
        <f>IFERROR(INDEX($H$5:$H$104,MATCH(33,$N$5:$N$104,0)),"")</f>
        <v/>
      </c>
      <c r="C37" s="44">
        <f>IFERROR(INDEX($I$5:$I$104,MATCH(33,$N$5:$N$104,0)),"")</f>
        <v/>
      </c>
      <c r="D37" s="43">
        <f>IFERROR(INDEX($J$5:$J$104,MATCH(33,$N$5:$N$104,0)),"")</f>
        <v/>
      </c>
      <c r="E37" s="43">
        <f>IFERROR(INDEX($K$5:$K$104,MATCH(33,$N$5:$N$104,0)),"")</f>
        <v/>
      </c>
      <c r="F37" s="43">
        <f>IFERROR(INDEX($L$5:$L$104,MATCH(33,$N$5:$N$104,0)),"")</f>
        <v/>
      </c>
      <c r="H37">
        <f>IF(Allocation!B38="","",Allocation!B38)</f>
        <v/>
      </c>
      <c r="I37">
        <f>IF(Allocation!C38="","",Allocation!C38)</f>
        <v/>
      </c>
      <c r="J37">
        <f>IF(I37="","",SUMPRODUCT((Fixtures!D$5:D$76=I37)*(Fixtures!E$5:E$76&lt;&gt;"")*(Fixtures!F$5:F$76&lt;&gt;"")*((Fixtures!E$5:E$76&gt;Fixtures!F$5:F$76)*3+(Fixtures!E$5:E$76=Fixtures!F$5:F$76)*2))+SUMPRODUCT((Fixtures!G$5:G$76=I37)*(Fixtures!E$5:E$76&lt;&gt;"")*(Fixtures!F$5:F$76&lt;&gt;"")*((Fixtures!F$5:F$76&gt;Fixtures!E$5:E$76)*3+(Fixtures!E$5:E$76=Fixtures!F$5:F$76)*2)))</f>
        <v/>
      </c>
      <c r="K37">
        <f>IF(I37="","",COUNTIFS(Fixtures!D$5:D$76,I37,Fixtures!J$5:J$76,"W")+COUNTIFS(Fixtures!G$5:G$76,I37,Fixtures!K$5:K$76,"W"))</f>
        <v/>
      </c>
      <c r="L37">
        <f>IF(I37="","",COUNTIFS(Fixtures!D$5:D$76,I37,Fixtures!J$5:J$76,"D")+COUNTIFS(Fixtures!G$5:G$76,I37,Fixtures!K$5:K$76,"D"))</f>
        <v/>
      </c>
      <c r="M37">
        <f>IF(I37="","",SUMPRODUCT((Fixtures!D$5:D$76=I37)*(Fixtures!E$5:E$76&lt;&gt;"")*(Fixtures!F$5:F$76&lt;&gt;"")*(Fixtures!E$5:E$76-Fixtures!F$5:F$76))+SUMPRODUCT((Fixtures!G$5:G$76=I37)*(Fixtures!E$5:E$76&lt;&gt;"")*(Fixtures!F$5:F$76&lt;&gt;"")*(Fixtures!F$5:F$76-Fixtures!E$5:E$76)))</f>
        <v/>
      </c>
      <c r="N37">
        <f>IF(H37="","",COUNTIFS($J$5:$J$104,"&gt;"&amp;J37,$H$5:$H$104,"&lt;&gt;")+COUNTIFS($J$5:$J37,J37,$H$5:$H37,"&lt;&gt;"))</f>
        <v/>
      </c>
    </row>
    <row r="38">
      <c r="A38" s="43" t="n">
        <v>34</v>
      </c>
      <c r="B38" s="44">
        <f>IFERROR(INDEX($H$5:$H$104,MATCH(34,$N$5:$N$104,0)),"")</f>
        <v/>
      </c>
      <c r="C38" s="44">
        <f>IFERROR(INDEX($I$5:$I$104,MATCH(34,$N$5:$N$104,0)),"")</f>
        <v/>
      </c>
      <c r="D38" s="43">
        <f>IFERROR(INDEX($J$5:$J$104,MATCH(34,$N$5:$N$104,0)),"")</f>
        <v/>
      </c>
      <c r="E38" s="43">
        <f>IFERROR(INDEX($K$5:$K$104,MATCH(34,$N$5:$N$104,0)),"")</f>
        <v/>
      </c>
      <c r="F38" s="43">
        <f>IFERROR(INDEX($L$5:$L$104,MATCH(34,$N$5:$N$104,0)),"")</f>
        <v/>
      </c>
      <c r="H38">
        <f>IF(Allocation!B39="","",Allocation!B39)</f>
        <v/>
      </c>
      <c r="I38">
        <f>IF(Allocation!C39="","",Allocation!C39)</f>
        <v/>
      </c>
      <c r="J38">
        <f>IF(I38="","",SUMPRODUCT((Fixtures!D$5:D$76=I38)*(Fixtures!E$5:E$76&lt;&gt;"")*(Fixtures!F$5:F$76&lt;&gt;"")*((Fixtures!E$5:E$76&gt;Fixtures!F$5:F$76)*3+(Fixtures!E$5:E$76=Fixtures!F$5:F$76)*2))+SUMPRODUCT((Fixtures!G$5:G$76=I38)*(Fixtures!E$5:E$76&lt;&gt;"")*(Fixtures!F$5:F$76&lt;&gt;"")*((Fixtures!F$5:F$76&gt;Fixtures!E$5:E$76)*3+(Fixtures!E$5:E$76=Fixtures!F$5:F$76)*2)))</f>
        <v/>
      </c>
      <c r="K38">
        <f>IF(I38="","",COUNTIFS(Fixtures!D$5:D$76,I38,Fixtures!J$5:J$76,"W")+COUNTIFS(Fixtures!G$5:G$76,I38,Fixtures!K$5:K$76,"W"))</f>
        <v/>
      </c>
      <c r="L38">
        <f>IF(I38="","",COUNTIFS(Fixtures!D$5:D$76,I38,Fixtures!J$5:J$76,"D")+COUNTIFS(Fixtures!G$5:G$76,I38,Fixtures!K$5:K$76,"D"))</f>
        <v/>
      </c>
      <c r="M38">
        <f>IF(I38="","",SUMPRODUCT((Fixtures!D$5:D$76=I38)*(Fixtures!E$5:E$76&lt;&gt;"")*(Fixtures!F$5:F$76&lt;&gt;"")*(Fixtures!E$5:E$76-Fixtures!F$5:F$76))+SUMPRODUCT((Fixtures!G$5:G$76=I38)*(Fixtures!E$5:E$76&lt;&gt;"")*(Fixtures!F$5:F$76&lt;&gt;"")*(Fixtures!F$5:F$76-Fixtures!E$5:E$76)))</f>
        <v/>
      </c>
      <c r="N38">
        <f>IF(H38="","",COUNTIFS($J$5:$J$104,"&gt;"&amp;J38,$H$5:$H$104,"&lt;&gt;")+COUNTIFS($J$5:$J38,J38,$H$5:$H38,"&lt;&gt;"))</f>
        <v/>
      </c>
    </row>
    <row r="39">
      <c r="A39" s="43" t="n">
        <v>35</v>
      </c>
      <c r="B39" s="44">
        <f>IFERROR(INDEX($H$5:$H$104,MATCH(35,$N$5:$N$104,0)),"")</f>
        <v/>
      </c>
      <c r="C39" s="44">
        <f>IFERROR(INDEX($I$5:$I$104,MATCH(35,$N$5:$N$104,0)),"")</f>
        <v/>
      </c>
      <c r="D39" s="43">
        <f>IFERROR(INDEX($J$5:$J$104,MATCH(35,$N$5:$N$104,0)),"")</f>
        <v/>
      </c>
      <c r="E39" s="43">
        <f>IFERROR(INDEX($K$5:$K$104,MATCH(35,$N$5:$N$104,0)),"")</f>
        <v/>
      </c>
      <c r="F39" s="43">
        <f>IFERROR(INDEX($L$5:$L$104,MATCH(35,$N$5:$N$104,0)),"")</f>
        <v/>
      </c>
      <c r="H39">
        <f>IF(Allocation!B40="","",Allocation!B40)</f>
        <v/>
      </c>
      <c r="I39">
        <f>IF(Allocation!C40="","",Allocation!C40)</f>
        <v/>
      </c>
      <c r="J39">
        <f>IF(I39="","",SUMPRODUCT((Fixtures!D$5:D$76=I39)*(Fixtures!E$5:E$76&lt;&gt;"")*(Fixtures!F$5:F$76&lt;&gt;"")*((Fixtures!E$5:E$76&gt;Fixtures!F$5:F$76)*3+(Fixtures!E$5:E$76=Fixtures!F$5:F$76)*2))+SUMPRODUCT((Fixtures!G$5:G$76=I39)*(Fixtures!E$5:E$76&lt;&gt;"")*(Fixtures!F$5:F$76&lt;&gt;"")*((Fixtures!F$5:F$76&gt;Fixtures!E$5:E$76)*3+(Fixtures!E$5:E$76=Fixtures!F$5:F$76)*2)))</f>
        <v/>
      </c>
      <c r="K39">
        <f>IF(I39="","",COUNTIFS(Fixtures!D$5:D$76,I39,Fixtures!J$5:J$76,"W")+COUNTIFS(Fixtures!G$5:G$76,I39,Fixtures!K$5:K$76,"W"))</f>
        <v/>
      </c>
      <c r="L39">
        <f>IF(I39="","",COUNTIFS(Fixtures!D$5:D$76,I39,Fixtures!J$5:J$76,"D")+COUNTIFS(Fixtures!G$5:G$76,I39,Fixtures!K$5:K$76,"D"))</f>
        <v/>
      </c>
      <c r="M39">
        <f>IF(I39="","",SUMPRODUCT((Fixtures!D$5:D$76=I39)*(Fixtures!E$5:E$76&lt;&gt;"")*(Fixtures!F$5:F$76&lt;&gt;"")*(Fixtures!E$5:E$76-Fixtures!F$5:F$76))+SUMPRODUCT((Fixtures!G$5:G$76=I39)*(Fixtures!E$5:E$76&lt;&gt;"")*(Fixtures!F$5:F$76&lt;&gt;"")*(Fixtures!F$5:F$76-Fixtures!E$5:E$76)))</f>
        <v/>
      </c>
      <c r="N39">
        <f>IF(H39="","",COUNTIFS($J$5:$J$104,"&gt;"&amp;J39,$H$5:$H$104,"&lt;&gt;")+COUNTIFS($J$5:$J39,J39,$H$5:$H39,"&lt;&gt;"))</f>
        <v/>
      </c>
    </row>
    <row r="40">
      <c r="A40" s="43" t="n">
        <v>36</v>
      </c>
      <c r="B40" s="44">
        <f>IFERROR(INDEX($H$5:$H$104,MATCH(36,$N$5:$N$104,0)),"")</f>
        <v/>
      </c>
      <c r="C40" s="44">
        <f>IFERROR(INDEX($I$5:$I$104,MATCH(36,$N$5:$N$104,0)),"")</f>
        <v/>
      </c>
      <c r="D40" s="43">
        <f>IFERROR(INDEX($J$5:$J$104,MATCH(36,$N$5:$N$104,0)),"")</f>
        <v/>
      </c>
      <c r="E40" s="43">
        <f>IFERROR(INDEX($K$5:$K$104,MATCH(36,$N$5:$N$104,0)),"")</f>
        <v/>
      </c>
      <c r="F40" s="43">
        <f>IFERROR(INDEX($L$5:$L$104,MATCH(36,$N$5:$N$104,0)),"")</f>
        <v/>
      </c>
      <c r="H40">
        <f>IF(Allocation!B41="","",Allocation!B41)</f>
        <v/>
      </c>
      <c r="I40">
        <f>IF(Allocation!C41="","",Allocation!C41)</f>
        <v/>
      </c>
      <c r="J40">
        <f>IF(I40="","",SUMPRODUCT((Fixtures!D$5:D$76=I40)*(Fixtures!E$5:E$76&lt;&gt;"")*(Fixtures!F$5:F$76&lt;&gt;"")*((Fixtures!E$5:E$76&gt;Fixtures!F$5:F$76)*3+(Fixtures!E$5:E$76=Fixtures!F$5:F$76)*2))+SUMPRODUCT((Fixtures!G$5:G$76=I40)*(Fixtures!E$5:E$76&lt;&gt;"")*(Fixtures!F$5:F$76&lt;&gt;"")*((Fixtures!F$5:F$76&gt;Fixtures!E$5:E$76)*3+(Fixtures!E$5:E$76=Fixtures!F$5:F$76)*2)))</f>
        <v/>
      </c>
      <c r="K40">
        <f>IF(I40="","",COUNTIFS(Fixtures!D$5:D$76,I40,Fixtures!J$5:J$76,"W")+COUNTIFS(Fixtures!G$5:G$76,I40,Fixtures!K$5:K$76,"W"))</f>
        <v/>
      </c>
      <c r="L40">
        <f>IF(I40="","",COUNTIFS(Fixtures!D$5:D$76,I40,Fixtures!J$5:J$76,"D")+COUNTIFS(Fixtures!G$5:G$76,I40,Fixtures!K$5:K$76,"D"))</f>
        <v/>
      </c>
      <c r="M40">
        <f>IF(I40="","",SUMPRODUCT((Fixtures!D$5:D$76=I40)*(Fixtures!E$5:E$76&lt;&gt;"")*(Fixtures!F$5:F$76&lt;&gt;"")*(Fixtures!E$5:E$76-Fixtures!F$5:F$76))+SUMPRODUCT((Fixtures!G$5:G$76=I40)*(Fixtures!E$5:E$76&lt;&gt;"")*(Fixtures!F$5:F$76&lt;&gt;"")*(Fixtures!F$5:F$76-Fixtures!E$5:E$76)))</f>
        <v/>
      </c>
      <c r="N40">
        <f>IF(H40="","",COUNTIFS($J$5:$J$104,"&gt;"&amp;J40,$H$5:$H$104,"&lt;&gt;")+COUNTIFS($J$5:$J40,J40,$H$5:$H40,"&lt;&gt;"))</f>
        <v/>
      </c>
    </row>
    <row r="41">
      <c r="A41" s="43" t="n">
        <v>37</v>
      </c>
      <c r="B41" s="44">
        <f>IFERROR(INDEX($H$5:$H$104,MATCH(37,$N$5:$N$104,0)),"")</f>
        <v/>
      </c>
      <c r="C41" s="44">
        <f>IFERROR(INDEX($I$5:$I$104,MATCH(37,$N$5:$N$104,0)),"")</f>
        <v/>
      </c>
      <c r="D41" s="43">
        <f>IFERROR(INDEX($J$5:$J$104,MATCH(37,$N$5:$N$104,0)),"")</f>
        <v/>
      </c>
      <c r="E41" s="43">
        <f>IFERROR(INDEX($K$5:$K$104,MATCH(37,$N$5:$N$104,0)),"")</f>
        <v/>
      </c>
      <c r="F41" s="43">
        <f>IFERROR(INDEX($L$5:$L$104,MATCH(37,$N$5:$N$104,0)),"")</f>
        <v/>
      </c>
      <c r="H41">
        <f>IF(Allocation!B42="","",Allocation!B42)</f>
        <v/>
      </c>
      <c r="I41">
        <f>IF(Allocation!C42="","",Allocation!C42)</f>
        <v/>
      </c>
      <c r="J41">
        <f>IF(I41="","",SUMPRODUCT((Fixtures!D$5:D$76=I41)*(Fixtures!E$5:E$76&lt;&gt;"")*(Fixtures!F$5:F$76&lt;&gt;"")*((Fixtures!E$5:E$76&gt;Fixtures!F$5:F$76)*3+(Fixtures!E$5:E$76=Fixtures!F$5:F$76)*2))+SUMPRODUCT((Fixtures!G$5:G$76=I41)*(Fixtures!E$5:E$76&lt;&gt;"")*(Fixtures!F$5:F$76&lt;&gt;"")*((Fixtures!F$5:F$76&gt;Fixtures!E$5:E$76)*3+(Fixtures!E$5:E$76=Fixtures!F$5:F$76)*2)))</f>
        <v/>
      </c>
      <c r="K41">
        <f>IF(I41="","",COUNTIFS(Fixtures!D$5:D$76,I41,Fixtures!J$5:J$76,"W")+COUNTIFS(Fixtures!G$5:G$76,I41,Fixtures!K$5:K$76,"W"))</f>
        <v/>
      </c>
      <c r="L41">
        <f>IF(I41="","",COUNTIFS(Fixtures!D$5:D$76,I41,Fixtures!J$5:J$76,"D")+COUNTIFS(Fixtures!G$5:G$76,I41,Fixtures!K$5:K$76,"D"))</f>
        <v/>
      </c>
      <c r="M41">
        <f>IF(I41="","",SUMPRODUCT((Fixtures!D$5:D$76=I41)*(Fixtures!E$5:E$76&lt;&gt;"")*(Fixtures!F$5:F$76&lt;&gt;"")*(Fixtures!E$5:E$76-Fixtures!F$5:F$76))+SUMPRODUCT((Fixtures!G$5:G$76=I41)*(Fixtures!E$5:E$76&lt;&gt;"")*(Fixtures!F$5:F$76&lt;&gt;"")*(Fixtures!F$5:F$76-Fixtures!E$5:E$76)))</f>
        <v/>
      </c>
      <c r="N41">
        <f>IF(H41="","",COUNTIFS($J$5:$J$104,"&gt;"&amp;J41,$H$5:$H$104,"&lt;&gt;")+COUNTIFS($J$5:$J41,J41,$H$5:$H41,"&lt;&gt;"))</f>
        <v/>
      </c>
    </row>
    <row r="42">
      <c r="A42" s="43" t="n">
        <v>38</v>
      </c>
      <c r="B42" s="44">
        <f>IFERROR(INDEX($H$5:$H$104,MATCH(38,$N$5:$N$104,0)),"")</f>
        <v/>
      </c>
      <c r="C42" s="44">
        <f>IFERROR(INDEX($I$5:$I$104,MATCH(38,$N$5:$N$104,0)),"")</f>
        <v/>
      </c>
      <c r="D42" s="43">
        <f>IFERROR(INDEX($J$5:$J$104,MATCH(38,$N$5:$N$104,0)),"")</f>
        <v/>
      </c>
      <c r="E42" s="43">
        <f>IFERROR(INDEX($K$5:$K$104,MATCH(38,$N$5:$N$104,0)),"")</f>
        <v/>
      </c>
      <c r="F42" s="43">
        <f>IFERROR(INDEX($L$5:$L$104,MATCH(38,$N$5:$N$104,0)),"")</f>
        <v/>
      </c>
      <c r="H42">
        <f>IF(Allocation!B43="","",Allocation!B43)</f>
        <v/>
      </c>
      <c r="I42">
        <f>IF(Allocation!C43="","",Allocation!C43)</f>
        <v/>
      </c>
      <c r="J42">
        <f>IF(I42="","",SUMPRODUCT((Fixtures!D$5:D$76=I42)*(Fixtures!E$5:E$76&lt;&gt;"")*(Fixtures!F$5:F$76&lt;&gt;"")*((Fixtures!E$5:E$76&gt;Fixtures!F$5:F$76)*3+(Fixtures!E$5:E$76=Fixtures!F$5:F$76)*2))+SUMPRODUCT((Fixtures!G$5:G$76=I42)*(Fixtures!E$5:E$76&lt;&gt;"")*(Fixtures!F$5:F$76&lt;&gt;"")*((Fixtures!F$5:F$76&gt;Fixtures!E$5:E$76)*3+(Fixtures!E$5:E$76=Fixtures!F$5:F$76)*2)))</f>
        <v/>
      </c>
      <c r="K42">
        <f>IF(I42="","",COUNTIFS(Fixtures!D$5:D$76,I42,Fixtures!J$5:J$76,"W")+COUNTIFS(Fixtures!G$5:G$76,I42,Fixtures!K$5:K$76,"W"))</f>
        <v/>
      </c>
      <c r="L42">
        <f>IF(I42="","",COUNTIFS(Fixtures!D$5:D$76,I42,Fixtures!J$5:J$76,"D")+COUNTIFS(Fixtures!G$5:G$76,I42,Fixtures!K$5:K$76,"D"))</f>
        <v/>
      </c>
      <c r="M42">
        <f>IF(I42="","",SUMPRODUCT((Fixtures!D$5:D$76=I42)*(Fixtures!E$5:E$76&lt;&gt;"")*(Fixtures!F$5:F$76&lt;&gt;"")*(Fixtures!E$5:E$76-Fixtures!F$5:F$76))+SUMPRODUCT((Fixtures!G$5:G$76=I42)*(Fixtures!E$5:E$76&lt;&gt;"")*(Fixtures!F$5:F$76&lt;&gt;"")*(Fixtures!F$5:F$76-Fixtures!E$5:E$76)))</f>
        <v/>
      </c>
      <c r="N42">
        <f>IF(H42="","",COUNTIFS($J$5:$J$104,"&gt;"&amp;J42,$H$5:$H$104,"&lt;&gt;")+COUNTIFS($J$5:$J42,J42,$H$5:$H42,"&lt;&gt;"))</f>
        <v/>
      </c>
    </row>
    <row r="43">
      <c r="A43" s="43" t="n">
        <v>39</v>
      </c>
      <c r="B43" s="44">
        <f>IFERROR(INDEX($H$5:$H$104,MATCH(39,$N$5:$N$104,0)),"")</f>
        <v/>
      </c>
      <c r="C43" s="44">
        <f>IFERROR(INDEX($I$5:$I$104,MATCH(39,$N$5:$N$104,0)),"")</f>
        <v/>
      </c>
      <c r="D43" s="43">
        <f>IFERROR(INDEX($J$5:$J$104,MATCH(39,$N$5:$N$104,0)),"")</f>
        <v/>
      </c>
      <c r="E43" s="43">
        <f>IFERROR(INDEX($K$5:$K$104,MATCH(39,$N$5:$N$104,0)),"")</f>
        <v/>
      </c>
      <c r="F43" s="43">
        <f>IFERROR(INDEX($L$5:$L$104,MATCH(39,$N$5:$N$104,0)),"")</f>
        <v/>
      </c>
      <c r="H43">
        <f>IF(Allocation!B44="","",Allocation!B44)</f>
        <v/>
      </c>
      <c r="I43">
        <f>IF(Allocation!C44="","",Allocation!C44)</f>
        <v/>
      </c>
      <c r="J43">
        <f>IF(I43="","",SUMPRODUCT((Fixtures!D$5:D$76=I43)*(Fixtures!E$5:E$76&lt;&gt;"")*(Fixtures!F$5:F$76&lt;&gt;"")*((Fixtures!E$5:E$76&gt;Fixtures!F$5:F$76)*3+(Fixtures!E$5:E$76=Fixtures!F$5:F$76)*2))+SUMPRODUCT((Fixtures!G$5:G$76=I43)*(Fixtures!E$5:E$76&lt;&gt;"")*(Fixtures!F$5:F$76&lt;&gt;"")*((Fixtures!F$5:F$76&gt;Fixtures!E$5:E$76)*3+(Fixtures!E$5:E$76=Fixtures!F$5:F$76)*2)))</f>
        <v/>
      </c>
      <c r="K43">
        <f>IF(I43="","",COUNTIFS(Fixtures!D$5:D$76,I43,Fixtures!J$5:J$76,"W")+COUNTIFS(Fixtures!G$5:G$76,I43,Fixtures!K$5:K$76,"W"))</f>
        <v/>
      </c>
      <c r="L43">
        <f>IF(I43="","",COUNTIFS(Fixtures!D$5:D$76,I43,Fixtures!J$5:J$76,"D")+COUNTIFS(Fixtures!G$5:G$76,I43,Fixtures!K$5:K$76,"D"))</f>
        <v/>
      </c>
      <c r="M43">
        <f>IF(I43="","",SUMPRODUCT((Fixtures!D$5:D$76=I43)*(Fixtures!E$5:E$76&lt;&gt;"")*(Fixtures!F$5:F$76&lt;&gt;"")*(Fixtures!E$5:E$76-Fixtures!F$5:F$76))+SUMPRODUCT((Fixtures!G$5:G$76=I43)*(Fixtures!E$5:E$76&lt;&gt;"")*(Fixtures!F$5:F$76&lt;&gt;"")*(Fixtures!F$5:F$76-Fixtures!E$5:E$76)))</f>
        <v/>
      </c>
      <c r="N43">
        <f>IF(H43="","",COUNTIFS($J$5:$J$104,"&gt;"&amp;J43,$H$5:$H$104,"&lt;&gt;")+COUNTIFS($J$5:$J43,J43,$H$5:$H43,"&lt;&gt;"))</f>
        <v/>
      </c>
    </row>
    <row r="44">
      <c r="A44" s="43" t="n">
        <v>40</v>
      </c>
      <c r="B44" s="44">
        <f>IFERROR(INDEX($H$5:$H$104,MATCH(40,$N$5:$N$104,0)),"")</f>
        <v/>
      </c>
      <c r="C44" s="44">
        <f>IFERROR(INDEX($I$5:$I$104,MATCH(40,$N$5:$N$104,0)),"")</f>
        <v/>
      </c>
      <c r="D44" s="43">
        <f>IFERROR(INDEX($J$5:$J$104,MATCH(40,$N$5:$N$104,0)),"")</f>
        <v/>
      </c>
      <c r="E44" s="43">
        <f>IFERROR(INDEX($K$5:$K$104,MATCH(40,$N$5:$N$104,0)),"")</f>
        <v/>
      </c>
      <c r="F44" s="43">
        <f>IFERROR(INDEX($L$5:$L$104,MATCH(40,$N$5:$N$104,0)),"")</f>
        <v/>
      </c>
      <c r="H44">
        <f>IF(Allocation!B45="","",Allocation!B45)</f>
        <v/>
      </c>
      <c r="I44">
        <f>IF(Allocation!C45="","",Allocation!C45)</f>
        <v/>
      </c>
      <c r="J44">
        <f>IF(I44="","",SUMPRODUCT((Fixtures!D$5:D$76=I44)*(Fixtures!E$5:E$76&lt;&gt;"")*(Fixtures!F$5:F$76&lt;&gt;"")*((Fixtures!E$5:E$76&gt;Fixtures!F$5:F$76)*3+(Fixtures!E$5:E$76=Fixtures!F$5:F$76)*2))+SUMPRODUCT((Fixtures!G$5:G$76=I44)*(Fixtures!E$5:E$76&lt;&gt;"")*(Fixtures!F$5:F$76&lt;&gt;"")*((Fixtures!F$5:F$76&gt;Fixtures!E$5:E$76)*3+(Fixtures!E$5:E$76=Fixtures!F$5:F$76)*2)))</f>
        <v/>
      </c>
      <c r="K44">
        <f>IF(I44="","",COUNTIFS(Fixtures!D$5:D$76,I44,Fixtures!J$5:J$76,"W")+COUNTIFS(Fixtures!G$5:G$76,I44,Fixtures!K$5:K$76,"W"))</f>
        <v/>
      </c>
      <c r="L44">
        <f>IF(I44="","",COUNTIFS(Fixtures!D$5:D$76,I44,Fixtures!J$5:J$76,"D")+COUNTIFS(Fixtures!G$5:G$76,I44,Fixtures!K$5:K$76,"D"))</f>
        <v/>
      </c>
      <c r="M44">
        <f>IF(I44="","",SUMPRODUCT((Fixtures!D$5:D$76=I44)*(Fixtures!E$5:E$76&lt;&gt;"")*(Fixtures!F$5:F$76&lt;&gt;"")*(Fixtures!E$5:E$76-Fixtures!F$5:F$76))+SUMPRODUCT((Fixtures!G$5:G$76=I44)*(Fixtures!E$5:E$76&lt;&gt;"")*(Fixtures!F$5:F$76&lt;&gt;"")*(Fixtures!F$5:F$76-Fixtures!E$5:E$76)))</f>
        <v/>
      </c>
      <c r="N44">
        <f>IF(H44="","",COUNTIFS($J$5:$J$104,"&gt;"&amp;J44,$H$5:$H$104,"&lt;&gt;")+COUNTIFS($J$5:$J44,J44,$H$5:$H44,"&lt;&gt;"))</f>
        <v/>
      </c>
    </row>
    <row r="45">
      <c r="A45" s="43" t="n">
        <v>41</v>
      </c>
      <c r="B45" s="44">
        <f>IFERROR(INDEX($H$5:$H$104,MATCH(41,$N$5:$N$104,0)),"")</f>
        <v/>
      </c>
      <c r="C45" s="44">
        <f>IFERROR(INDEX($I$5:$I$104,MATCH(41,$N$5:$N$104,0)),"")</f>
        <v/>
      </c>
      <c r="D45" s="43">
        <f>IFERROR(INDEX($J$5:$J$104,MATCH(41,$N$5:$N$104,0)),"")</f>
        <v/>
      </c>
      <c r="E45" s="43">
        <f>IFERROR(INDEX($K$5:$K$104,MATCH(41,$N$5:$N$104,0)),"")</f>
        <v/>
      </c>
      <c r="F45" s="43">
        <f>IFERROR(INDEX($L$5:$L$104,MATCH(41,$N$5:$N$104,0)),"")</f>
        <v/>
      </c>
      <c r="H45">
        <f>IF(Allocation!B46="","",Allocation!B46)</f>
        <v/>
      </c>
      <c r="I45">
        <f>IF(Allocation!C46="","",Allocation!C46)</f>
        <v/>
      </c>
      <c r="J45">
        <f>IF(I45="","",SUMPRODUCT((Fixtures!D$5:D$76=I45)*(Fixtures!E$5:E$76&lt;&gt;"")*(Fixtures!F$5:F$76&lt;&gt;"")*((Fixtures!E$5:E$76&gt;Fixtures!F$5:F$76)*3+(Fixtures!E$5:E$76=Fixtures!F$5:F$76)*2))+SUMPRODUCT((Fixtures!G$5:G$76=I45)*(Fixtures!E$5:E$76&lt;&gt;"")*(Fixtures!F$5:F$76&lt;&gt;"")*((Fixtures!F$5:F$76&gt;Fixtures!E$5:E$76)*3+(Fixtures!E$5:E$76=Fixtures!F$5:F$76)*2)))</f>
        <v/>
      </c>
      <c r="K45">
        <f>IF(I45="","",COUNTIFS(Fixtures!D$5:D$76,I45,Fixtures!J$5:J$76,"W")+COUNTIFS(Fixtures!G$5:G$76,I45,Fixtures!K$5:K$76,"W"))</f>
        <v/>
      </c>
      <c r="L45">
        <f>IF(I45="","",COUNTIFS(Fixtures!D$5:D$76,I45,Fixtures!J$5:J$76,"D")+COUNTIFS(Fixtures!G$5:G$76,I45,Fixtures!K$5:K$76,"D"))</f>
        <v/>
      </c>
      <c r="M45">
        <f>IF(I45="","",SUMPRODUCT((Fixtures!D$5:D$76=I45)*(Fixtures!E$5:E$76&lt;&gt;"")*(Fixtures!F$5:F$76&lt;&gt;"")*(Fixtures!E$5:E$76-Fixtures!F$5:F$76))+SUMPRODUCT((Fixtures!G$5:G$76=I45)*(Fixtures!E$5:E$76&lt;&gt;"")*(Fixtures!F$5:F$76&lt;&gt;"")*(Fixtures!F$5:F$76-Fixtures!E$5:E$76)))</f>
        <v/>
      </c>
      <c r="N45">
        <f>IF(H45="","",COUNTIFS($J$5:$J$104,"&gt;"&amp;J45,$H$5:$H$104,"&lt;&gt;")+COUNTIFS($J$5:$J45,J45,$H$5:$H45,"&lt;&gt;"))</f>
        <v/>
      </c>
    </row>
    <row r="46">
      <c r="A46" s="43" t="n">
        <v>42</v>
      </c>
      <c r="B46" s="44">
        <f>IFERROR(INDEX($H$5:$H$104,MATCH(42,$N$5:$N$104,0)),"")</f>
        <v/>
      </c>
      <c r="C46" s="44">
        <f>IFERROR(INDEX($I$5:$I$104,MATCH(42,$N$5:$N$104,0)),"")</f>
        <v/>
      </c>
      <c r="D46" s="43">
        <f>IFERROR(INDEX($J$5:$J$104,MATCH(42,$N$5:$N$104,0)),"")</f>
        <v/>
      </c>
      <c r="E46" s="43">
        <f>IFERROR(INDEX($K$5:$K$104,MATCH(42,$N$5:$N$104,0)),"")</f>
        <v/>
      </c>
      <c r="F46" s="43">
        <f>IFERROR(INDEX($L$5:$L$104,MATCH(42,$N$5:$N$104,0)),"")</f>
        <v/>
      </c>
      <c r="H46">
        <f>IF(Allocation!B47="","",Allocation!B47)</f>
        <v/>
      </c>
      <c r="I46">
        <f>IF(Allocation!C47="","",Allocation!C47)</f>
        <v/>
      </c>
      <c r="J46">
        <f>IF(I46="","",SUMPRODUCT((Fixtures!D$5:D$76=I46)*(Fixtures!E$5:E$76&lt;&gt;"")*(Fixtures!F$5:F$76&lt;&gt;"")*((Fixtures!E$5:E$76&gt;Fixtures!F$5:F$76)*3+(Fixtures!E$5:E$76=Fixtures!F$5:F$76)*2))+SUMPRODUCT((Fixtures!G$5:G$76=I46)*(Fixtures!E$5:E$76&lt;&gt;"")*(Fixtures!F$5:F$76&lt;&gt;"")*((Fixtures!F$5:F$76&gt;Fixtures!E$5:E$76)*3+(Fixtures!E$5:E$76=Fixtures!F$5:F$76)*2)))</f>
        <v/>
      </c>
      <c r="K46">
        <f>IF(I46="","",COUNTIFS(Fixtures!D$5:D$76,I46,Fixtures!J$5:J$76,"W")+COUNTIFS(Fixtures!G$5:G$76,I46,Fixtures!K$5:K$76,"W"))</f>
        <v/>
      </c>
      <c r="L46">
        <f>IF(I46="","",COUNTIFS(Fixtures!D$5:D$76,I46,Fixtures!J$5:J$76,"D")+COUNTIFS(Fixtures!G$5:G$76,I46,Fixtures!K$5:K$76,"D"))</f>
        <v/>
      </c>
      <c r="M46">
        <f>IF(I46="","",SUMPRODUCT((Fixtures!D$5:D$76=I46)*(Fixtures!E$5:E$76&lt;&gt;"")*(Fixtures!F$5:F$76&lt;&gt;"")*(Fixtures!E$5:E$76-Fixtures!F$5:F$76))+SUMPRODUCT((Fixtures!G$5:G$76=I46)*(Fixtures!E$5:E$76&lt;&gt;"")*(Fixtures!F$5:F$76&lt;&gt;"")*(Fixtures!F$5:F$76-Fixtures!E$5:E$76)))</f>
        <v/>
      </c>
      <c r="N46">
        <f>IF(H46="","",COUNTIFS($J$5:$J$104,"&gt;"&amp;J46,$H$5:$H$104,"&lt;&gt;")+COUNTIFS($J$5:$J46,J46,$H$5:$H46,"&lt;&gt;"))</f>
        <v/>
      </c>
    </row>
    <row r="47">
      <c r="A47" s="43" t="n">
        <v>43</v>
      </c>
      <c r="B47" s="44">
        <f>IFERROR(INDEX($H$5:$H$104,MATCH(43,$N$5:$N$104,0)),"")</f>
        <v/>
      </c>
      <c r="C47" s="44">
        <f>IFERROR(INDEX($I$5:$I$104,MATCH(43,$N$5:$N$104,0)),"")</f>
        <v/>
      </c>
      <c r="D47" s="43">
        <f>IFERROR(INDEX($J$5:$J$104,MATCH(43,$N$5:$N$104,0)),"")</f>
        <v/>
      </c>
      <c r="E47" s="43">
        <f>IFERROR(INDEX($K$5:$K$104,MATCH(43,$N$5:$N$104,0)),"")</f>
        <v/>
      </c>
      <c r="F47" s="43">
        <f>IFERROR(INDEX($L$5:$L$104,MATCH(43,$N$5:$N$104,0)),"")</f>
        <v/>
      </c>
      <c r="H47">
        <f>IF(Allocation!B48="","",Allocation!B48)</f>
        <v/>
      </c>
      <c r="I47">
        <f>IF(Allocation!C48="","",Allocation!C48)</f>
        <v/>
      </c>
      <c r="J47">
        <f>IF(I47="","",SUMPRODUCT((Fixtures!D$5:D$76=I47)*(Fixtures!E$5:E$76&lt;&gt;"")*(Fixtures!F$5:F$76&lt;&gt;"")*((Fixtures!E$5:E$76&gt;Fixtures!F$5:F$76)*3+(Fixtures!E$5:E$76=Fixtures!F$5:F$76)*2))+SUMPRODUCT((Fixtures!G$5:G$76=I47)*(Fixtures!E$5:E$76&lt;&gt;"")*(Fixtures!F$5:F$76&lt;&gt;"")*((Fixtures!F$5:F$76&gt;Fixtures!E$5:E$76)*3+(Fixtures!E$5:E$76=Fixtures!F$5:F$76)*2)))</f>
        <v/>
      </c>
      <c r="K47">
        <f>IF(I47="","",COUNTIFS(Fixtures!D$5:D$76,I47,Fixtures!J$5:J$76,"W")+COUNTIFS(Fixtures!G$5:G$76,I47,Fixtures!K$5:K$76,"W"))</f>
        <v/>
      </c>
      <c r="L47">
        <f>IF(I47="","",COUNTIFS(Fixtures!D$5:D$76,I47,Fixtures!J$5:J$76,"D")+COUNTIFS(Fixtures!G$5:G$76,I47,Fixtures!K$5:K$76,"D"))</f>
        <v/>
      </c>
      <c r="M47">
        <f>IF(I47="","",SUMPRODUCT((Fixtures!D$5:D$76=I47)*(Fixtures!E$5:E$76&lt;&gt;"")*(Fixtures!F$5:F$76&lt;&gt;"")*(Fixtures!E$5:E$76-Fixtures!F$5:F$76))+SUMPRODUCT((Fixtures!G$5:G$76=I47)*(Fixtures!E$5:E$76&lt;&gt;"")*(Fixtures!F$5:F$76&lt;&gt;"")*(Fixtures!F$5:F$76-Fixtures!E$5:E$76)))</f>
        <v/>
      </c>
      <c r="N47">
        <f>IF(H47="","",COUNTIFS($J$5:$J$104,"&gt;"&amp;J47,$H$5:$H$104,"&lt;&gt;")+COUNTIFS($J$5:$J47,J47,$H$5:$H47,"&lt;&gt;"))</f>
        <v/>
      </c>
    </row>
    <row r="48">
      <c r="A48" s="43" t="n">
        <v>44</v>
      </c>
      <c r="B48" s="44">
        <f>IFERROR(INDEX($H$5:$H$104,MATCH(44,$N$5:$N$104,0)),"")</f>
        <v/>
      </c>
      <c r="C48" s="44">
        <f>IFERROR(INDEX($I$5:$I$104,MATCH(44,$N$5:$N$104,0)),"")</f>
        <v/>
      </c>
      <c r="D48" s="43">
        <f>IFERROR(INDEX($J$5:$J$104,MATCH(44,$N$5:$N$104,0)),"")</f>
        <v/>
      </c>
      <c r="E48" s="43">
        <f>IFERROR(INDEX($K$5:$K$104,MATCH(44,$N$5:$N$104,0)),"")</f>
        <v/>
      </c>
      <c r="F48" s="43">
        <f>IFERROR(INDEX($L$5:$L$104,MATCH(44,$N$5:$N$104,0)),"")</f>
        <v/>
      </c>
      <c r="H48">
        <f>IF(Allocation!B49="","",Allocation!B49)</f>
        <v/>
      </c>
      <c r="I48">
        <f>IF(Allocation!C49="","",Allocation!C49)</f>
        <v/>
      </c>
      <c r="J48">
        <f>IF(I48="","",SUMPRODUCT((Fixtures!D$5:D$76=I48)*(Fixtures!E$5:E$76&lt;&gt;"")*(Fixtures!F$5:F$76&lt;&gt;"")*((Fixtures!E$5:E$76&gt;Fixtures!F$5:F$76)*3+(Fixtures!E$5:E$76=Fixtures!F$5:F$76)*2))+SUMPRODUCT((Fixtures!G$5:G$76=I48)*(Fixtures!E$5:E$76&lt;&gt;"")*(Fixtures!F$5:F$76&lt;&gt;"")*((Fixtures!F$5:F$76&gt;Fixtures!E$5:E$76)*3+(Fixtures!E$5:E$76=Fixtures!F$5:F$76)*2)))</f>
        <v/>
      </c>
      <c r="K48">
        <f>IF(I48="","",COUNTIFS(Fixtures!D$5:D$76,I48,Fixtures!J$5:J$76,"W")+COUNTIFS(Fixtures!G$5:G$76,I48,Fixtures!K$5:K$76,"W"))</f>
        <v/>
      </c>
      <c r="L48">
        <f>IF(I48="","",COUNTIFS(Fixtures!D$5:D$76,I48,Fixtures!J$5:J$76,"D")+COUNTIFS(Fixtures!G$5:G$76,I48,Fixtures!K$5:K$76,"D"))</f>
        <v/>
      </c>
      <c r="M48">
        <f>IF(I48="","",SUMPRODUCT((Fixtures!D$5:D$76=I48)*(Fixtures!E$5:E$76&lt;&gt;"")*(Fixtures!F$5:F$76&lt;&gt;"")*(Fixtures!E$5:E$76-Fixtures!F$5:F$76))+SUMPRODUCT((Fixtures!G$5:G$76=I48)*(Fixtures!E$5:E$76&lt;&gt;"")*(Fixtures!F$5:F$76&lt;&gt;"")*(Fixtures!F$5:F$76-Fixtures!E$5:E$76)))</f>
        <v/>
      </c>
      <c r="N48">
        <f>IF(H48="","",COUNTIFS($J$5:$J$104,"&gt;"&amp;J48,$H$5:$H$104,"&lt;&gt;")+COUNTIFS($J$5:$J48,J48,$H$5:$H48,"&lt;&gt;"))</f>
        <v/>
      </c>
    </row>
    <row r="49">
      <c r="A49" s="43" t="n">
        <v>45</v>
      </c>
      <c r="B49" s="44">
        <f>IFERROR(INDEX($H$5:$H$104,MATCH(45,$N$5:$N$104,0)),"")</f>
        <v/>
      </c>
      <c r="C49" s="44">
        <f>IFERROR(INDEX($I$5:$I$104,MATCH(45,$N$5:$N$104,0)),"")</f>
        <v/>
      </c>
      <c r="D49" s="43">
        <f>IFERROR(INDEX($J$5:$J$104,MATCH(45,$N$5:$N$104,0)),"")</f>
        <v/>
      </c>
      <c r="E49" s="43">
        <f>IFERROR(INDEX($K$5:$K$104,MATCH(45,$N$5:$N$104,0)),"")</f>
        <v/>
      </c>
      <c r="F49" s="43">
        <f>IFERROR(INDEX($L$5:$L$104,MATCH(45,$N$5:$N$104,0)),"")</f>
        <v/>
      </c>
      <c r="H49">
        <f>IF(Allocation!B50="","",Allocation!B50)</f>
        <v/>
      </c>
      <c r="I49">
        <f>IF(Allocation!C50="","",Allocation!C50)</f>
        <v/>
      </c>
      <c r="J49">
        <f>IF(I49="","",SUMPRODUCT((Fixtures!D$5:D$76=I49)*(Fixtures!E$5:E$76&lt;&gt;"")*(Fixtures!F$5:F$76&lt;&gt;"")*((Fixtures!E$5:E$76&gt;Fixtures!F$5:F$76)*3+(Fixtures!E$5:E$76=Fixtures!F$5:F$76)*2))+SUMPRODUCT((Fixtures!G$5:G$76=I49)*(Fixtures!E$5:E$76&lt;&gt;"")*(Fixtures!F$5:F$76&lt;&gt;"")*((Fixtures!F$5:F$76&gt;Fixtures!E$5:E$76)*3+(Fixtures!E$5:E$76=Fixtures!F$5:F$76)*2)))</f>
        <v/>
      </c>
      <c r="K49">
        <f>IF(I49="","",COUNTIFS(Fixtures!D$5:D$76,I49,Fixtures!J$5:J$76,"W")+COUNTIFS(Fixtures!G$5:G$76,I49,Fixtures!K$5:K$76,"W"))</f>
        <v/>
      </c>
      <c r="L49">
        <f>IF(I49="","",COUNTIFS(Fixtures!D$5:D$76,I49,Fixtures!J$5:J$76,"D")+COUNTIFS(Fixtures!G$5:G$76,I49,Fixtures!K$5:K$76,"D"))</f>
        <v/>
      </c>
      <c r="M49">
        <f>IF(I49="","",SUMPRODUCT((Fixtures!D$5:D$76=I49)*(Fixtures!E$5:E$76&lt;&gt;"")*(Fixtures!F$5:F$76&lt;&gt;"")*(Fixtures!E$5:E$76-Fixtures!F$5:F$76))+SUMPRODUCT((Fixtures!G$5:G$76=I49)*(Fixtures!E$5:E$76&lt;&gt;"")*(Fixtures!F$5:F$76&lt;&gt;"")*(Fixtures!F$5:F$76-Fixtures!E$5:E$76)))</f>
        <v/>
      </c>
      <c r="N49">
        <f>IF(H49="","",COUNTIFS($J$5:$J$104,"&gt;"&amp;J49,$H$5:$H$104,"&lt;&gt;")+COUNTIFS($J$5:$J49,J49,$H$5:$H49,"&lt;&gt;"))</f>
        <v/>
      </c>
    </row>
    <row r="50">
      <c r="A50" s="43" t="n">
        <v>46</v>
      </c>
      <c r="B50" s="44">
        <f>IFERROR(INDEX($H$5:$H$104,MATCH(46,$N$5:$N$104,0)),"")</f>
        <v/>
      </c>
      <c r="C50" s="44">
        <f>IFERROR(INDEX($I$5:$I$104,MATCH(46,$N$5:$N$104,0)),"")</f>
        <v/>
      </c>
      <c r="D50" s="43">
        <f>IFERROR(INDEX($J$5:$J$104,MATCH(46,$N$5:$N$104,0)),"")</f>
        <v/>
      </c>
      <c r="E50" s="43">
        <f>IFERROR(INDEX($K$5:$K$104,MATCH(46,$N$5:$N$104,0)),"")</f>
        <v/>
      </c>
      <c r="F50" s="43">
        <f>IFERROR(INDEX($L$5:$L$104,MATCH(46,$N$5:$N$104,0)),"")</f>
        <v/>
      </c>
      <c r="H50">
        <f>IF(Allocation!B51="","",Allocation!B51)</f>
        <v/>
      </c>
      <c r="I50">
        <f>IF(Allocation!C51="","",Allocation!C51)</f>
        <v/>
      </c>
      <c r="J50">
        <f>IF(I50="","",SUMPRODUCT((Fixtures!D$5:D$76=I50)*(Fixtures!E$5:E$76&lt;&gt;"")*(Fixtures!F$5:F$76&lt;&gt;"")*((Fixtures!E$5:E$76&gt;Fixtures!F$5:F$76)*3+(Fixtures!E$5:E$76=Fixtures!F$5:F$76)*2))+SUMPRODUCT((Fixtures!G$5:G$76=I50)*(Fixtures!E$5:E$76&lt;&gt;"")*(Fixtures!F$5:F$76&lt;&gt;"")*((Fixtures!F$5:F$76&gt;Fixtures!E$5:E$76)*3+(Fixtures!E$5:E$76=Fixtures!F$5:F$76)*2)))</f>
        <v/>
      </c>
      <c r="K50">
        <f>IF(I50="","",COUNTIFS(Fixtures!D$5:D$76,I50,Fixtures!J$5:J$76,"W")+COUNTIFS(Fixtures!G$5:G$76,I50,Fixtures!K$5:K$76,"W"))</f>
        <v/>
      </c>
      <c r="L50">
        <f>IF(I50="","",COUNTIFS(Fixtures!D$5:D$76,I50,Fixtures!J$5:J$76,"D")+COUNTIFS(Fixtures!G$5:G$76,I50,Fixtures!K$5:K$76,"D"))</f>
        <v/>
      </c>
      <c r="M50">
        <f>IF(I50="","",SUMPRODUCT((Fixtures!D$5:D$76=I50)*(Fixtures!E$5:E$76&lt;&gt;"")*(Fixtures!F$5:F$76&lt;&gt;"")*(Fixtures!E$5:E$76-Fixtures!F$5:F$76))+SUMPRODUCT((Fixtures!G$5:G$76=I50)*(Fixtures!E$5:E$76&lt;&gt;"")*(Fixtures!F$5:F$76&lt;&gt;"")*(Fixtures!F$5:F$76-Fixtures!E$5:E$76)))</f>
        <v/>
      </c>
      <c r="N50">
        <f>IF(H50="","",COUNTIFS($J$5:$J$104,"&gt;"&amp;J50,$H$5:$H$104,"&lt;&gt;")+COUNTIFS($J$5:$J50,J50,$H$5:$H50,"&lt;&gt;"))</f>
        <v/>
      </c>
    </row>
    <row r="51">
      <c r="A51" s="43" t="n">
        <v>47</v>
      </c>
      <c r="B51" s="44">
        <f>IFERROR(INDEX($H$5:$H$104,MATCH(47,$N$5:$N$104,0)),"")</f>
        <v/>
      </c>
      <c r="C51" s="44">
        <f>IFERROR(INDEX($I$5:$I$104,MATCH(47,$N$5:$N$104,0)),"")</f>
        <v/>
      </c>
      <c r="D51" s="43">
        <f>IFERROR(INDEX($J$5:$J$104,MATCH(47,$N$5:$N$104,0)),"")</f>
        <v/>
      </c>
      <c r="E51" s="43">
        <f>IFERROR(INDEX($K$5:$K$104,MATCH(47,$N$5:$N$104,0)),"")</f>
        <v/>
      </c>
      <c r="F51" s="43">
        <f>IFERROR(INDEX($L$5:$L$104,MATCH(47,$N$5:$N$104,0)),"")</f>
        <v/>
      </c>
      <c r="H51">
        <f>IF(Allocation!B52="","",Allocation!B52)</f>
        <v/>
      </c>
      <c r="I51">
        <f>IF(Allocation!C52="","",Allocation!C52)</f>
        <v/>
      </c>
      <c r="J51">
        <f>IF(I51="","",SUMPRODUCT((Fixtures!D$5:D$76=I51)*(Fixtures!E$5:E$76&lt;&gt;"")*(Fixtures!F$5:F$76&lt;&gt;"")*((Fixtures!E$5:E$76&gt;Fixtures!F$5:F$76)*3+(Fixtures!E$5:E$76=Fixtures!F$5:F$76)*2))+SUMPRODUCT((Fixtures!G$5:G$76=I51)*(Fixtures!E$5:E$76&lt;&gt;"")*(Fixtures!F$5:F$76&lt;&gt;"")*((Fixtures!F$5:F$76&gt;Fixtures!E$5:E$76)*3+(Fixtures!E$5:E$76=Fixtures!F$5:F$76)*2)))</f>
        <v/>
      </c>
      <c r="K51">
        <f>IF(I51="","",COUNTIFS(Fixtures!D$5:D$76,I51,Fixtures!J$5:J$76,"W")+COUNTIFS(Fixtures!G$5:G$76,I51,Fixtures!K$5:K$76,"W"))</f>
        <v/>
      </c>
      <c r="L51">
        <f>IF(I51="","",COUNTIFS(Fixtures!D$5:D$76,I51,Fixtures!J$5:J$76,"D")+COUNTIFS(Fixtures!G$5:G$76,I51,Fixtures!K$5:K$76,"D"))</f>
        <v/>
      </c>
      <c r="M51">
        <f>IF(I51="","",SUMPRODUCT((Fixtures!D$5:D$76=I51)*(Fixtures!E$5:E$76&lt;&gt;"")*(Fixtures!F$5:F$76&lt;&gt;"")*(Fixtures!E$5:E$76-Fixtures!F$5:F$76))+SUMPRODUCT((Fixtures!G$5:G$76=I51)*(Fixtures!E$5:E$76&lt;&gt;"")*(Fixtures!F$5:F$76&lt;&gt;"")*(Fixtures!F$5:F$76-Fixtures!E$5:E$76)))</f>
        <v/>
      </c>
      <c r="N51">
        <f>IF(H51="","",COUNTIFS($J$5:$J$104,"&gt;"&amp;J51,$H$5:$H$104,"&lt;&gt;")+COUNTIFS($J$5:$J51,J51,$H$5:$H51,"&lt;&gt;"))</f>
        <v/>
      </c>
    </row>
    <row r="52">
      <c r="A52" s="43" t="n">
        <v>48</v>
      </c>
      <c r="B52" s="44">
        <f>IFERROR(INDEX($H$5:$H$104,MATCH(48,$N$5:$N$104,0)),"")</f>
        <v/>
      </c>
      <c r="C52" s="44">
        <f>IFERROR(INDEX($I$5:$I$104,MATCH(48,$N$5:$N$104,0)),"")</f>
        <v/>
      </c>
      <c r="D52" s="43">
        <f>IFERROR(INDEX($J$5:$J$104,MATCH(48,$N$5:$N$104,0)),"")</f>
        <v/>
      </c>
      <c r="E52" s="43">
        <f>IFERROR(INDEX($K$5:$K$104,MATCH(48,$N$5:$N$104,0)),"")</f>
        <v/>
      </c>
      <c r="F52" s="43">
        <f>IFERROR(INDEX($L$5:$L$104,MATCH(48,$N$5:$N$104,0)),"")</f>
        <v/>
      </c>
      <c r="H52">
        <f>IF(Allocation!B53="","",Allocation!B53)</f>
        <v/>
      </c>
      <c r="I52">
        <f>IF(Allocation!C53="","",Allocation!C53)</f>
        <v/>
      </c>
      <c r="J52">
        <f>IF(I52="","",SUMPRODUCT((Fixtures!D$5:D$76=I52)*(Fixtures!E$5:E$76&lt;&gt;"")*(Fixtures!F$5:F$76&lt;&gt;"")*((Fixtures!E$5:E$76&gt;Fixtures!F$5:F$76)*3+(Fixtures!E$5:E$76=Fixtures!F$5:F$76)*2))+SUMPRODUCT((Fixtures!G$5:G$76=I52)*(Fixtures!E$5:E$76&lt;&gt;"")*(Fixtures!F$5:F$76&lt;&gt;"")*((Fixtures!F$5:F$76&gt;Fixtures!E$5:E$76)*3+(Fixtures!E$5:E$76=Fixtures!F$5:F$76)*2)))</f>
        <v/>
      </c>
      <c r="K52">
        <f>IF(I52="","",COUNTIFS(Fixtures!D$5:D$76,I52,Fixtures!J$5:J$76,"W")+COUNTIFS(Fixtures!G$5:G$76,I52,Fixtures!K$5:K$76,"W"))</f>
        <v/>
      </c>
      <c r="L52">
        <f>IF(I52="","",COUNTIFS(Fixtures!D$5:D$76,I52,Fixtures!J$5:J$76,"D")+COUNTIFS(Fixtures!G$5:G$76,I52,Fixtures!K$5:K$76,"D"))</f>
        <v/>
      </c>
      <c r="M52">
        <f>IF(I52="","",SUMPRODUCT((Fixtures!D$5:D$76=I52)*(Fixtures!E$5:E$76&lt;&gt;"")*(Fixtures!F$5:F$76&lt;&gt;"")*(Fixtures!E$5:E$76-Fixtures!F$5:F$76))+SUMPRODUCT((Fixtures!G$5:G$76=I52)*(Fixtures!E$5:E$76&lt;&gt;"")*(Fixtures!F$5:F$76&lt;&gt;"")*(Fixtures!F$5:F$76-Fixtures!E$5:E$76)))</f>
        <v/>
      </c>
      <c r="N52">
        <f>IF(H52="","",COUNTIFS($J$5:$J$104,"&gt;"&amp;J52,$H$5:$H$104,"&lt;&gt;")+COUNTIFS($J$5:$J52,J52,$H$5:$H52,"&lt;&gt;"))</f>
        <v/>
      </c>
    </row>
    <row r="53">
      <c r="A53" s="43" t="n">
        <v>49</v>
      </c>
      <c r="B53" s="44">
        <f>IFERROR(INDEX($H$5:$H$104,MATCH(49,$N$5:$N$104,0)),"")</f>
        <v/>
      </c>
      <c r="C53" s="44">
        <f>IFERROR(INDEX($I$5:$I$104,MATCH(49,$N$5:$N$104,0)),"")</f>
        <v/>
      </c>
      <c r="D53" s="43">
        <f>IFERROR(INDEX($J$5:$J$104,MATCH(49,$N$5:$N$104,0)),"")</f>
        <v/>
      </c>
      <c r="E53" s="43">
        <f>IFERROR(INDEX($K$5:$K$104,MATCH(49,$N$5:$N$104,0)),"")</f>
        <v/>
      </c>
      <c r="F53" s="43">
        <f>IFERROR(INDEX($L$5:$L$104,MATCH(49,$N$5:$N$104,0)),"")</f>
        <v/>
      </c>
      <c r="H53">
        <f>IF(Allocation!B54="","",Allocation!B54)</f>
        <v/>
      </c>
      <c r="I53">
        <f>IF(Allocation!C54="","",Allocation!C54)</f>
        <v/>
      </c>
      <c r="J53">
        <f>IF(I53="","",SUMPRODUCT((Fixtures!D$5:D$76=I53)*(Fixtures!E$5:E$76&lt;&gt;"")*(Fixtures!F$5:F$76&lt;&gt;"")*((Fixtures!E$5:E$76&gt;Fixtures!F$5:F$76)*3+(Fixtures!E$5:E$76=Fixtures!F$5:F$76)*2))+SUMPRODUCT((Fixtures!G$5:G$76=I53)*(Fixtures!E$5:E$76&lt;&gt;"")*(Fixtures!F$5:F$76&lt;&gt;"")*((Fixtures!F$5:F$76&gt;Fixtures!E$5:E$76)*3+(Fixtures!E$5:E$76=Fixtures!F$5:F$76)*2)))</f>
        <v/>
      </c>
      <c r="K53">
        <f>IF(I53="","",COUNTIFS(Fixtures!D$5:D$76,I53,Fixtures!J$5:J$76,"W")+COUNTIFS(Fixtures!G$5:G$76,I53,Fixtures!K$5:K$76,"W"))</f>
        <v/>
      </c>
      <c r="L53">
        <f>IF(I53="","",COUNTIFS(Fixtures!D$5:D$76,I53,Fixtures!J$5:J$76,"D")+COUNTIFS(Fixtures!G$5:G$76,I53,Fixtures!K$5:K$76,"D"))</f>
        <v/>
      </c>
      <c r="M53">
        <f>IF(I53="","",SUMPRODUCT((Fixtures!D$5:D$76=I53)*(Fixtures!E$5:E$76&lt;&gt;"")*(Fixtures!F$5:F$76&lt;&gt;"")*(Fixtures!E$5:E$76-Fixtures!F$5:F$76))+SUMPRODUCT((Fixtures!G$5:G$76=I53)*(Fixtures!E$5:E$76&lt;&gt;"")*(Fixtures!F$5:F$76&lt;&gt;"")*(Fixtures!F$5:F$76-Fixtures!E$5:E$76)))</f>
        <v/>
      </c>
      <c r="N53">
        <f>IF(H53="","",COUNTIFS($J$5:$J$104,"&gt;"&amp;J53,$H$5:$H$104,"&lt;&gt;")+COUNTIFS($J$5:$J53,J53,$H$5:$H53,"&lt;&gt;"))</f>
        <v/>
      </c>
    </row>
    <row r="54">
      <c r="A54" s="43" t="n">
        <v>50</v>
      </c>
      <c r="B54" s="44">
        <f>IFERROR(INDEX($H$5:$H$104,MATCH(50,$N$5:$N$104,0)),"")</f>
        <v/>
      </c>
      <c r="C54" s="44">
        <f>IFERROR(INDEX($I$5:$I$104,MATCH(50,$N$5:$N$104,0)),"")</f>
        <v/>
      </c>
      <c r="D54" s="43">
        <f>IFERROR(INDEX($J$5:$J$104,MATCH(50,$N$5:$N$104,0)),"")</f>
        <v/>
      </c>
      <c r="E54" s="43">
        <f>IFERROR(INDEX($K$5:$K$104,MATCH(50,$N$5:$N$104,0)),"")</f>
        <v/>
      </c>
      <c r="F54" s="43">
        <f>IFERROR(INDEX($L$5:$L$104,MATCH(50,$N$5:$N$104,0)),"")</f>
        <v/>
      </c>
      <c r="H54">
        <f>IF(Allocation!B55="","",Allocation!B55)</f>
        <v/>
      </c>
      <c r="I54">
        <f>IF(Allocation!C55="","",Allocation!C55)</f>
        <v/>
      </c>
      <c r="J54">
        <f>IF(I54="","",SUMPRODUCT((Fixtures!D$5:D$76=I54)*(Fixtures!E$5:E$76&lt;&gt;"")*(Fixtures!F$5:F$76&lt;&gt;"")*((Fixtures!E$5:E$76&gt;Fixtures!F$5:F$76)*3+(Fixtures!E$5:E$76=Fixtures!F$5:F$76)*2))+SUMPRODUCT((Fixtures!G$5:G$76=I54)*(Fixtures!E$5:E$76&lt;&gt;"")*(Fixtures!F$5:F$76&lt;&gt;"")*((Fixtures!F$5:F$76&gt;Fixtures!E$5:E$76)*3+(Fixtures!E$5:E$76=Fixtures!F$5:F$76)*2)))</f>
        <v/>
      </c>
      <c r="K54">
        <f>IF(I54="","",COUNTIFS(Fixtures!D$5:D$76,I54,Fixtures!J$5:J$76,"W")+COUNTIFS(Fixtures!G$5:G$76,I54,Fixtures!K$5:K$76,"W"))</f>
        <v/>
      </c>
      <c r="L54">
        <f>IF(I54="","",COUNTIFS(Fixtures!D$5:D$76,I54,Fixtures!J$5:J$76,"D")+COUNTIFS(Fixtures!G$5:G$76,I54,Fixtures!K$5:K$76,"D"))</f>
        <v/>
      </c>
      <c r="M54">
        <f>IF(I54="","",SUMPRODUCT((Fixtures!D$5:D$76=I54)*(Fixtures!E$5:E$76&lt;&gt;"")*(Fixtures!F$5:F$76&lt;&gt;"")*(Fixtures!E$5:E$76-Fixtures!F$5:F$76))+SUMPRODUCT((Fixtures!G$5:G$76=I54)*(Fixtures!E$5:E$76&lt;&gt;"")*(Fixtures!F$5:F$76&lt;&gt;"")*(Fixtures!F$5:F$76-Fixtures!E$5:E$76)))</f>
        <v/>
      </c>
      <c r="N54">
        <f>IF(H54="","",COUNTIFS($J$5:$J$104,"&gt;"&amp;J54,$H$5:$H$104,"&lt;&gt;")+COUNTIFS($J$5:$J54,J54,$H$5:$H54,"&lt;&gt;"))</f>
        <v/>
      </c>
    </row>
    <row r="55">
      <c r="A55" s="43" t="n">
        <v>51</v>
      </c>
      <c r="B55" s="44">
        <f>IFERROR(INDEX($H$5:$H$104,MATCH(51,$N$5:$N$104,0)),"")</f>
        <v/>
      </c>
      <c r="C55" s="44">
        <f>IFERROR(INDEX($I$5:$I$104,MATCH(51,$N$5:$N$104,0)),"")</f>
        <v/>
      </c>
      <c r="D55" s="43">
        <f>IFERROR(INDEX($J$5:$J$104,MATCH(51,$N$5:$N$104,0)),"")</f>
        <v/>
      </c>
      <c r="E55" s="43">
        <f>IFERROR(INDEX($K$5:$K$104,MATCH(51,$N$5:$N$104,0)),"")</f>
        <v/>
      </c>
      <c r="F55" s="43">
        <f>IFERROR(INDEX($L$5:$L$104,MATCH(51,$N$5:$N$104,0)),"")</f>
        <v/>
      </c>
      <c r="H55">
        <f>IF(Allocation!B56="","",Allocation!B56)</f>
        <v/>
      </c>
      <c r="I55">
        <f>IF(Allocation!C56="","",Allocation!C56)</f>
        <v/>
      </c>
      <c r="J55">
        <f>IF(I55="","",SUMPRODUCT((Fixtures!D$5:D$76=I55)*(Fixtures!E$5:E$76&lt;&gt;"")*(Fixtures!F$5:F$76&lt;&gt;"")*((Fixtures!E$5:E$76&gt;Fixtures!F$5:F$76)*3+(Fixtures!E$5:E$76=Fixtures!F$5:F$76)*2))+SUMPRODUCT((Fixtures!G$5:G$76=I55)*(Fixtures!E$5:E$76&lt;&gt;"")*(Fixtures!F$5:F$76&lt;&gt;"")*((Fixtures!F$5:F$76&gt;Fixtures!E$5:E$76)*3+(Fixtures!E$5:E$76=Fixtures!F$5:F$76)*2)))</f>
        <v/>
      </c>
      <c r="K55">
        <f>IF(I55="","",COUNTIFS(Fixtures!D$5:D$76,I55,Fixtures!J$5:J$76,"W")+COUNTIFS(Fixtures!G$5:G$76,I55,Fixtures!K$5:K$76,"W"))</f>
        <v/>
      </c>
      <c r="L55">
        <f>IF(I55="","",COUNTIFS(Fixtures!D$5:D$76,I55,Fixtures!J$5:J$76,"D")+COUNTIFS(Fixtures!G$5:G$76,I55,Fixtures!K$5:K$76,"D"))</f>
        <v/>
      </c>
      <c r="M55">
        <f>IF(I55="","",SUMPRODUCT((Fixtures!D$5:D$76=I55)*(Fixtures!E$5:E$76&lt;&gt;"")*(Fixtures!F$5:F$76&lt;&gt;"")*(Fixtures!E$5:E$76-Fixtures!F$5:F$76))+SUMPRODUCT((Fixtures!G$5:G$76=I55)*(Fixtures!E$5:E$76&lt;&gt;"")*(Fixtures!F$5:F$76&lt;&gt;"")*(Fixtures!F$5:F$76-Fixtures!E$5:E$76)))</f>
        <v/>
      </c>
      <c r="N55">
        <f>IF(H55="","",COUNTIFS($J$5:$J$104,"&gt;"&amp;J55,$H$5:$H$104,"&lt;&gt;")+COUNTIFS($J$5:$J55,J55,$H$5:$H55,"&lt;&gt;"))</f>
        <v/>
      </c>
    </row>
    <row r="56">
      <c r="A56" s="43" t="n">
        <v>52</v>
      </c>
      <c r="B56" s="44">
        <f>IFERROR(INDEX($H$5:$H$104,MATCH(52,$N$5:$N$104,0)),"")</f>
        <v/>
      </c>
      <c r="C56" s="44">
        <f>IFERROR(INDEX($I$5:$I$104,MATCH(52,$N$5:$N$104,0)),"")</f>
        <v/>
      </c>
      <c r="D56" s="43">
        <f>IFERROR(INDEX($J$5:$J$104,MATCH(52,$N$5:$N$104,0)),"")</f>
        <v/>
      </c>
      <c r="E56" s="43">
        <f>IFERROR(INDEX($K$5:$K$104,MATCH(52,$N$5:$N$104,0)),"")</f>
        <v/>
      </c>
      <c r="F56" s="43">
        <f>IFERROR(INDEX($L$5:$L$104,MATCH(52,$N$5:$N$104,0)),"")</f>
        <v/>
      </c>
      <c r="H56">
        <f>IF(Allocation!B57="","",Allocation!B57)</f>
        <v/>
      </c>
      <c r="I56">
        <f>IF(Allocation!C57="","",Allocation!C57)</f>
        <v/>
      </c>
      <c r="J56">
        <f>IF(I56="","",SUMPRODUCT((Fixtures!D$5:D$76=I56)*(Fixtures!E$5:E$76&lt;&gt;"")*(Fixtures!F$5:F$76&lt;&gt;"")*((Fixtures!E$5:E$76&gt;Fixtures!F$5:F$76)*3+(Fixtures!E$5:E$76=Fixtures!F$5:F$76)*2))+SUMPRODUCT((Fixtures!G$5:G$76=I56)*(Fixtures!E$5:E$76&lt;&gt;"")*(Fixtures!F$5:F$76&lt;&gt;"")*((Fixtures!F$5:F$76&gt;Fixtures!E$5:E$76)*3+(Fixtures!E$5:E$76=Fixtures!F$5:F$76)*2)))</f>
        <v/>
      </c>
      <c r="K56">
        <f>IF(I56="","",COUNTIFS(Fixtures!D$5:D$76,I56,Fixtures!J$5:J$76,"W")+COUNTIFS(Fixtures!G$5:G$76,I56,Fixtures!K$5:K$76,"W"))</f>
        <v/>
      </c>
      <c r="L56">
        <f>IF(I56="","",COUNTIFS(Fixtures!D$5:D$76,I56,Fixtures!J$5:J$76,"D")+COUNTIFS(Fixtures!G$5:G$76,I56,Fixtures!K$5:K$76,"D"))</f>
        <v/>
      </c>
      <c r="M56">
        <f>IF(I56="","",SUMPRODUCT((Fixtures!D$5:D$76=I56)*(Fixtures!E$5:E$76&lt;&gt;"")*(Fixtures!F$5:F$76&lt;&gt;"")*(Fixtures!E$5:E$76-Fixtures!F$5:F$76))+SUMPRODUCT((Fixtures!G$5:G$76=I56)*(Fixtures!E$5:E$76&lt;&gt;"")*(Fixtures!F$5:F$76&lt;&gt;"")*(Fixtures!F$5:F$76-Fixtures!E$5:E$76)))</f>
        <v/>
      </c>
      <c r="N56">
        <f>IF(H56="","",COUNTIFS($J$5:$J$104,"&gt;"&amp;J56,$H$5:$H$104,"&lt;&gt;")+COUNTIFS($J$5:$J56,J56,$H$5:$H56,"&lt;&gt;"))</f>
        <v/>
      </c>
    </row>
    <row r="57">
      <c r="A57" s="43" t="n">
        <v>53</v>
      </c>
      <c r="B57" s="44">
        <f>IFERROR(INDEX($H$5:$H$104,MATCH(53,$N$5:$N$104,0)),"")</f>
        <v/>
      </c>
      <c r="C57" s="44">
        <f>IFERROR(INDEX($I$5:$I$104,MATCH(53,$N$5:$N$104,0)),"")</f>
        <v/>
      </c>
      <c r="D57" s="43">
        <f>IFERROR(INDEX($J$5:$J$104,MATCH(53,$N$5:$N$104,0)),"")</f>
        <v/>
      </c>
      <c r="E57" s="43">
        <f>IFERROR(INDEX($K$5:$K$104,MATCH(53,$N$5:$N$104,0)),"")</f>
        <v/>
      </c>
      <c r="F57" s="43">
        <f>IFERROR(INDEX($L$5:$L$104,MATCH(53,$N$5:$N$104,0)),"")</f>
        <v/>
      </c>
      <c r="H57">
        <f>IF(Allocation!B58="","",Allocation!B58)</f>
        <v/>
      </c>
      <c r="I57">
        <f>IF(Allocation!C58="","",Allocation!C58)</f>
        <v/>
      </c>
      <c r="J57">
        <f>IF(I57="","",SUMPRODUCT((Fixtures!D$5:D$76=I57)*(Fixtures!E$5:E$76&lt;&gt;"")*(Fixtures!F$5:F$76&lt;&gt;"")*((Fixtures!E$5:E$76&gt;Fixtures!F$5:F$76)*3+(Fixtures!E$5:E$76=Fixtures!F$5:F$76)*2))+SUMPRODUCT((Fixtures!G$5:G$76=I57)*(Fixtures!E$5:E$76&lt;&gt;"")*(Fixtures!F$5:F$76&lt;&gt;"")*((Fixtures!F$5:F$76&gt;Fixtures!E$5:E$76)*3+(Fixtures!E$5:E$76=Fixtures!F$5:F$76)*2)))</f>
        <v/>
      </c>
      <c r="K57">
        <f>IF(I57="","",COUNTIFS(Fixtures!D$5:D$76,I57,Fixtures!J$5:J$76,"W")+COUNTIFS(Fixtures!G$5:G$76,I57,Fixtures!K$5:K$76,"W"))</f>
        <v/>
      </c>
      <c r="L57">
        <f>IF(I57="","",COUNTIFS(Fixtures!D$5:D$76,I57,Fixtures!J$5:J$76,"D")+COUNTIFS(Fixtures!G$5:G$76,I57,Fixtures!K$5:K$76,"D"))</f>
        <v/>
      </c>
      <c r="M57">
        <f>IF(I57="","",SUMPRODUCT((Fixtures!D$5:D$76=I57)*(Fixtures!E$5:E$76&lt;&gt;"")*(Fixtures!F$5:F$76&lt;&gt;"")*(Fixtures!E$5:E$76-Fixtures!F$5:F$76))+SUMPRODUCT((Fixtures!G$5:G$76=I57)*(Fixtures!E$5:E$76&lt;&gt;"")*(Fixtures!F$5:F$76&lt;&gt;"")*(Fixtures!F$5:F$76-Fixtures!E$5:E$76)))</f>
        <v/>
      </c>
      <c r="N57">
        <f>IF(H57="","",COUNTIFS($J$5:$J$104,"&gt;"&amp;J57,$H$5:$H$104,"&lt;&gt;")+COUNTIFS($J$5:$J57,J57,$H$5:$H57,"&lt;&gt;"))</f>
        <v/>
      </c>
    </row>
    <row r="58">
      <c r="A58" s="43" t="n">
        <v>54</v>
      </c>
      <c r="B58" s="44">
        <f>IFERROR(INDEX($H$5:$H$104,MATCH(54,$N$5:$N$104,0)),"")</f>
        <v/>
      </c>
      <c r="C58" s="44">
        <f>IFERROR(INDEX($I$5:$I$104,MATCH(54,$N$5:$N$104,0)),"")</f>
        <v/>
      </c>
      <c r="D58" s="43">
        <f>IFERROR(INDEX($J$5:$J$104,MATCH(54,$N$5:$N$104,0)),"")</f>
        <v/>
      </c>
      <c r="E58" s="43">
        <f>IFERROR(INDEX($K$5:$K$104,MATCH(54,$N$5:$N$104,0)),"")</f>
        <v/>
      </c>
      <c r="F58" s="43">
        <f>IFERROR(INDEX($L$5:$L$104,MATCH(54,$N$5:$N$104,0)),"")</f>
        <v/>
      </c>
      <c r="H58">
        <f>IF(Allocation!B59="","",Allocation!B59)</f>
        <v/>
      </c>
      <c r="I58">
        <f>IF(Allocation!C59="","",Allocation!C59)</f>
        <v/>
      </c>
      <c r="J58">
        <f>IF(I58="","",SUMPRODUCT((Fixtures!D$5:D$76=I58)*(Fixtures!E$5:E$76&lt;&gt;"")*(Fixtures!F$5:F$76&lt;&gt;"")*((Fixtures!E$5:E$76&gt;Fixtures!F$5:F$76)*3+(Fixtures!E$5:E$76=Fixtures!F$5:F$76)*2))+SUMPRODUCT((Fixtures!G$5:G$76=I58)*(Fixtures!E$5:E$76&lt;&gt;"")*(Fixtures!F$5:F$76&lt;&gt;"")*((Fixtures!F$5:F$76&gt;Fixtures!E$5:E$76)*3+(Fixtures!E$5:E$76=Fixtures!F$5:F$76)*2)))</f>
        <v/>
      </c>
      <c r="K58">
        <f>IF(I58="","",COUNTIFS(Fixtures!D$5:D$76,I58,Fixtures!J$5:J$76,"W")+COUNTIFS(Fixtures!G$5:G$76,I58,Fixtures!K$5:K$76,"W"))</f>
        <v/>
      </c>
      <c r="L58">
        <f>IF(I58="","",COUNTIFS(Fixtures!D$5:D$76,I58,Fixtures!J$5:J$76,"D")+COUNTIFS(Fixtures!G$5:G$76,I58,Fixtures!K$5:K$76,"D"))</f>
        <v/>
      </c>
      <c r="M58">
        <f>IF(I58="","",SUMPRODUCT((Fixtures!D$5:D$76=I58)*(Fixtures!E$5:E$76&lt;&gt;"")*(Fixtures!F$5:F$76&lt;&gt;"")*(Fixtures!E$5:E$76-Fixtures!F$5:F$76))+SUMPRODUCT((Fixtures!G$5:G$76=I58)*(Fixtures!E$5:E$76&lt;&gt;"")*(Fixtures!F$5:F$76&lt;&gt;"")*(Fixtures!F$5:F$76-Fixtures!E$5:E$76)))</f>
        <v/>
      </c>
      <c r="N58">
        <f>IF(H58="","",COUNTIFS($J$5:$J$104,"&gt;"&amp;J58,$H$5:$H$104,"&lt;&gt;")+COUNTIFS($J$5:$J58,J58,$H$5:$H58,"&lt;&gt;"))</f>
        <v/>
      </c>
    </row>
    <row r="59">
      <c r="A59" s="43" t="n">
        <v>55</v>
      </c>
      <c r="B59" s="44">
        <f>IFERROR(INDEX($H$5:$H$104,MATCH(55,$N$5:$N$104,0)),"")</f>
        <v/>
      </c>
      <c r="C59" s="44">
        <f>IFERROR(INDEX($I$5:$I$104,MATCH(55,$N$5:$N$104,0)),"")</f>
        <v/>
      </c>
      <c r="D59" s="43">
        <f>IFERROR(INDEX($J$5:$J$104,MATCH(55,$N$5:$N$104,0)),"")</f>
        <v/>
      </c>
      <c r="E59" s="43">
        <f>IFERROR(INDEX($K$5:$K$104,MATCH(55,$N$5:$N$104,0)),"")</f>
        <v/>
      </c>
      <c r="F59" s="43">
        <f>IFERROR(INDEX($L$5:$L$104,MATCH(55,$N$5:$N$104,0)),"")</f>
        <v/>
      </c>
      <c r="H59">
        <f>IF(Allocation!B60="","",Allocation!B60)</f>
        <v/>
      </c>
      <c r="I59">
        <f>IF(Allocation!C60="","",Allocation!C60)</f>
        <v/>
      </c>
      <c r="J59">
        <f>IF(I59="","",SUMPRODUCT((Fixtures!D$5:D$76=I59)*(Fixtures!E$5:E$76&lt;&gt;"")*(Fixtures!F$5:F$76&lt;&gt;"")*((Fixtures!E$5:E$76&gt;Fixtures!F$5:F$76)*3+(Fixtures!E$5:E$76=Fixtures!F$5:F$76)*2))+SUMPRODUCT((Fixtures!G$5:G$76=I59)*(Fixtures!E$5:E$76&lt;&gt;"")*(Fixtures!F$5:F$76&lt;&gt;"")*((Fixtures!F$5:F$76&gt;Fixtures!E$5:E$76)*3+(Fixtures!E$5:E$76=Fixtures!F$5:F$76)*2)))</f>
        <v/>
      </c>
      <c r="K59">
        <f>IF(I59="","",COUNTIFS(Fixtures!D$5:D$76,I59,Fixtures!J$5:J$76,"W")+COUNTIFS(Fixtures!G$5:G$76,I59,Fixtures!K$5:K$76,"W"))</f>
        <v/>
      </c>
      <c r="L59">
        <f>IF(I59="","",COUNTIFS(Fixtures!D$5:D$76,I59,Fixtures!J$5:J$76,"D")+COUNTIFS(Fixtures!G$5:G$76,I59,Fixtures!K$5:K$76,"D"))</f>
        <v/>
      </c>
      <c r="M59">
        <f>IF(I59="","",SUMPRODUCT((Fixtures!D$5:D$76=I59)*(Fixtures!E$5:E$76&lt;&gt;"")*(Fixtures!F$5:F$76&lt;&gt;"")*(Fixtures!E$5:E$76-Fixtures!F$5:F$76))+SUMPRODUCT((Fixtures!G$5:G$76=I59)*(Fixtures!E$5:E$76&lt;&gt;"")*(Fixtures!F$5:F$76&lt;&gt;"")*(Fixtures!F$5:F$76-Fixtures!E$5:E$76)))</f>
        <v/>
      </c>
      <c r="N59">
        <f>IF(H59="","",COUNTIFS($J$5:$J$104,"&gt;"&amp;J59,$H$5:$H$104,"&lt;&gt;")+COUNTIFS($J$5:$J59,J59,$H$5:$H59,"&lt;&gt;"))</f>
        <v/>
      </c>
    </row>
    <row r="60">
      <c r="A60" s="43" t="n">
        <v>56</v>
      </c>
      <c r="B60" s="44">
        <f>IFERROR(INDEX($H$5:$H$104,MATCH(56,$N$5:$N$104,0)),"")</f>
        <v/>
      </c>
      <c r="C60" s="44">
        <f>IFERROR(INDEX($I$5:$I$104,MATCH(56,$N$5:$N$104,0)),"")</f>
        <v/>
      </c>
      <c r="D60" s="43">
        <f>IFERROR(INDEX($J$5:$J$104,MATCH(56,$N$5:$N$104,0)),"")</f>
        <v/>
      </c>
      <c r="E60" s="43">
        <f>IFERROR(INDEX($K$5:$K$104,MATCH(56,$N$5:$N$104,0)),"")</f>
        <v/>
      </c>
      <c r="F60" s="43">
        <f>IFERROR(INDEX($L$5:$L$104,MATCH(56,$N$5:$N$104,0)),"")</f>
        <v/>
      </c>
      <c r="H60">
        <f>IF(Allocation!B61="","",Allocation!B61)</f>
        <v/>
      </c>
      <c r="I60">
        <f>IF(Allocation!C61="","",Allocation!C61)</f>
        <v/>
      </c>
      <c r="J60">
        <f>IF(I60="","",SUMPRODUCT((Fixtures!D$5:D$76=I60)*(Fixtures!E$5:E$76&lt;&gt;"")*(Fixtures!F$5:F$76&lt;&gt;"")*((Fixtures!E$5:E$76&gt;Fixtures!F$5:F$76)*3+(Fixtures!E$5:E$76=Fixtures!F$5:F$76)*2))+SUMPRODUCT((Fixtures!G$5:G$76=I60)*(Fixtures!E$5:E$76&lt;&gt;"")*(Fixtures!F$5:F$76&lt;&gt;"")*((Fixtures!F$5:F$76&gt;Fixtures!E$5:E$76)*3+(Fixtures!E$5:E$76=Fixtures!F$5:F$76)*2)))</f>
        <v/>
      </c>
      <c r="K60">
        <f>IF(I60="","",COUNTIFS(Fixtures!D$5:D$76,I60,Fixtures!J$5:J$76,"W")+COUNTIFS(Fixtures!G$5:G$76,I60,Fixtures!K$5:K$76,"W"))</f>
        <v/>
      </c>
      <c r="L60">
        <f>IF(I60="","",COUNTIFS(Fixtures!D$5:D$76,I60,Fixtures!J$5:J$76,"D")+COUNTIFS(Fixtures!G$5:G$76,I60,Fixtures!K$5:K$76,"D"))</f>
        <v/>
      </c>
      <c r="M60">
        <f>IF(I60="","",SUMPRODUCT((Fixtures!D$5:D$76=I60)*(Fixtures!E$5:E$76&lt;&gt;"")*(Fixtures!F$5:F$76&lt;&gt;"")*(Fixtures!E$5:E$76-Fixtures!F$5:F$76))+SUMPRODUCT((Fixtures!G$5:G$76=I60)*(Fixtures!E$5:E$76&lt;&gt;"")*(Fixtures!F$5:F$76&lt;&gt;"")*(Fixtures!F$5:F$76-Fixtures!E$5:E$76)))</f>
        <v/>
      </c>
      <c r="N60">
        <f>IF(H60="","",COUNTIFS($J$5:$J$104,"&gt;"&amp;J60,$H$5:$H$104,"&lt;&gt;")+COUNTIFS($J$5:$J60,J60,$H$5:$H60,"&lt;&gt;"))</f>
        <v/>
      </c>
    </row>
    <row r="61">
      <c r="A61" s="43" t="n">
        <v>57</v>
      </c>
      <c r="B61" s="44">
        <f>IFERROR(INDEX($H$5:$H$104,MATCH(57,$N$5:$N$104,0)),"")</f>
        <v/>
      </c>
      <c r="C61" s="44">
        <f>IFERROR(INDEX($I$5:$I$104,MATCH(57,$N$5:$N$104,0)),"")</f>
        <v/>
      </c>
      <c r="D61" s="43">
        <f>IFERROR(INDEX($J$5:$J$104,MATCH(57,$N$5:$N$104,0)),"")</f>
        <v/>
      </c>
      <c r="E61" s="43">
        <f>IFERROR(INDEX($K$5:$K$104,MATCH(57,$N$5:$N$104,0)),"")</f>
        <v/>
      </c>
      <c r="F61" s="43">
        <f>IFERROR(INDEX($L$5:$L$104,MATCH(57,$N$5:$N$104,0)),"")</f>
        <v/>
      </c>
      <c r="H61">
        <f>IF(Allocation!B62="","",Allocation!B62)</f>
        <v/>
      </c>
      <c r="I61">
        <f>IF(Allocation!C62="","",Allocation!C62)</f>
        <v/>
      </c>
      <c r="J61">
        <f>IF(I61="","",SUMPRODUCT((Fixtures!D$5:D$76=I61)*(Fixtures!E$5:E$76&lt;&gt;"")*(Fixtures!F$5:F$76&lt;&gt;"")*((Fixtures!E$5:E$76&gt;Fixtures!F$5:F$76)*3+(Fixtures!E$5:E$76=Fixtures!F$5:F$76)*2))+SUMPRODUCT((Fixtures!G$5:G$76=I61)*(Fixtures!E$5:E$76&lt;&gt;"")*(Fixtures!F$5:F$76&lt;&gt;"")*((Fixtures!F$5:F$76&gt;Fixtures!E$5:E$76)*3+(Fixtures!E$5:E$76=Fixtures!F$5:F$76)*2)))</f>
        <v/>
      </c>
      <c r="K61">
        <f>IF(I61="","",COUNTIFS(Fixtures!D$5:D$76,I61,Fixtures!J$5:J$76,"W")+COUNTIFS(Fixtures!G$5:G$76,I61,Fixtures!K$5:K$76,"W"))</f>
        <v/>
      </c>
      <c r="L61">
        <f>IF(I61="","",COUNTIFS(Fixtures!D$5:D$76,I61,Fixtures!J$5:J$76,"D")+COUNTIFS(Fixtures!G$5:G$76,I61,Fixtures!K$5:K$76,"D"))</f>
        <v/>
      </c>
      <c r="M61">
        <f>IF(I61="","",SUMPRODUCT((Fixtures!D$5:D$76=I61)*(Fixtures!E$5:E$76&lt;&gt;"")*(Fixtures!F$5:F$76&lt;&gt;"")*(Fixtures!E$5:E$76-Fixtures!F$5:F$76))+SUMPRODUCT((Fixtures!G$5:G$76=I61)*(Fixtures!E$5:E$76&lt;&gt;"")*(Fixtures!F$5:F$76&lt;&gt;"")*(Fixtures!F$5:F$76-Fixtures!E$5:E$76)))</f>
        <v/>
      </c>
      <c r="N61">
        <f>IF(H61="","",COUNTIFS($J$5:$J$104,"&gt;"&amp;J61,$H$5:$H$104,"&lt;&gt;")+COUNTIFS($J$5:$J61,J61,$H$5:$H61,"&lt;&gt;"))</f>
        <v/>
      </c>
    </row>
    <row r="62">
      <c r="A62" s="43" t="n">
        <v>58</v>
      </c>
      <c r="B62" s="44">
        <f>IFERROR(INDEX($H$5:$H$104,MATCH(58,$N$5:$N$104,0)),"")</f>
        <v/>
      </c>
      <c r="C62" s="44">
        <f>IFERROR(INDEX($I$5:$I$104,MATCH(58,$N$5:$N$104,0)),"")</f>
        <v/>
      </c>
      <c r="D62" s="43">
        <f>IFERROR(INDEX($J$5:$J$104,MATCH(58,$N$5:$N$104,0)),"")</f>
        <v/>
      </c>
      <c r="E62" s="43">
        <f>IFERROR(INDEX($K$5:$K$104,MATCH(58,$N$5:$N$104,0)),"")</f>
        <v/>
      </c>
      <c r="F62" s="43">
        <f>IFERROR(INDEX($L$5:$L$104,MATCH(58,$N$5:$N$104,0)),"")</f>
        <v/>
      </c>
      <c r="H62">
        <f>IF(Allocation!B63="","",Allocation!B63)</f>
        <v/>
      </c>
      <c r="I62">
        <f>IF(Allocation!C63="","",Allocation!C63)</f>
        <v/>
      </c>
      <c r="J62">
        <f>IF(I62="","",SUMPRODUCT((Fixtures!D$5:D$76=I62)*(Fixtures!E$5:E$76&lt;&gt;"")*(Fixtures!F$5:F$76&lt;&gt;"")*((Fixtures!E$5:E$76&gt;Fixtures!F$5:F$76)*3+(Fixtures!E$5:E$76=Fixtures!F$5:F$76)*2))+SUMPRODUCT((Fixtures!G$5:G$76=I62)*(Fixtures!E$5:E$76&lt;&gt;"")*(Fixtures!F$5:F$76&lt;&gt;"")*((Fixtures!F$5:F$76&gt;Fixtures!E$5:E$76)*3+(Fixtures!E$5:E$76=Fixtures!F$5:F$76)*2)))</f>
        <v/>
      </c>
      <c r="K62">
        <f>IF(I62="","",COUNTIFS(Fixtures!D$5:D$76,I62,Fixtures!J$5:J$76,"W")+COUNTIFS(Fixtures!G$5:G$76,I62,Fixtures!K$5:K$76,"W"))</f>
        <v/>
      </c>
      <c r="L62">
        <f>IF(I62="","",COUNTIFS(Fixtures!D$5:D$76,I62,Fixtures!J$5:J$76,"D")+COUNTIFS(Fixtures!G$5:G$76,I62,Fixtures!K$5:K$76,"D"))</f>
        <v/>
      </c>
      <c r="M62">
        <f>IF(I62="","",SUMPRODUCT((Fixtures!D$5:D$76=I62)*(Fixtures!E$5:E$76&lt;&gt;"")*(Fixtures!F$5:F$76&lt;&gt;"")*(Fixtures!E$5:E$76-Fixtures!F$5:F$76))+SUMPRODUCT((Fixtures!G$5:G$76=I62)*(Fixtures!E$5:E$76&lt;&gt;"")*(Fixtures!F$5:F$76&lt;&gt;"")*(Fixtures!F$5:F$76-Fixtures!E$5:E$76)))</f>
        <v/>
      </c>
      <c r="N62">
        <f>IF(H62="","",COUNTIFS($J$5:$J$104,"&gt;"&amp;J62,$H$5:$H$104,"&lt;&gt;")+COUNTIFS($J$5:$J62,J62,$H$5:$H62,"&lt;&gt;"))</f>
        <v/>
      </c>
    </row>
    <row r="63">
      <c r="A63" s="43" t="n">
        <v>59</v>
      </c>
      <c r="B63" s="44">
        <f>IFERROR(INDEX($H$5:$H$104,MATCH(59,$N$5:$N$104,0)),"")</f>
        <v/>
      </c>
      <c r="C63" s="44">
        <f>IFERROR(INDEX($I$5:$I$104,MATCH(59,$N$5:$N$104,0)),"")</f>
        <v/>
      </c>
      <c r="D63" s="43">
        <f>IFERROR(INDEX($J$5:$J$104,MATCH(59,$N$5:$N$104,0)),"")</f>
        <v/>
      </c>
      <c r="E63" s="43">
        <f>IFERROR(INDEX($K$5:$K$104,MATCH(59,$N$5:$N$104,0)),"")</f>
        <v/>
      </c>
      <c r="F63" s="43">
        <f>IFERROR(INDEX($L$5:$L$104,MATCH(59,$N$5:$N$104,0)),"")</f>
        <v/>
      </c>
      <c r="H63">
        <f>IF(Allocation!B64="","",Allocation!B64)</f>
        <v/>
      </c>
      <c r="I63">
        <f>IF(Allocation!C64="","",Allocation!C64)</f>
        <v/>
      </c>
      <c r="J63">
        <f>IF(I63="","",SUMPRODUCT((Fixtures!D$5:D$76=I63)*(Fixtures!E$5:E$76&lt;&gt;"")*(Fixtures!F$5:F$76&lt;&gt;"")*((Fixtures!E$5:E$76&gt;Fixtures!F$5:F$76)*3+(Fixtures!E$5:E$76=Fixtures!F$5:F$76)*2))+SUMPRODUCT((Fixtures!G$5:G$76=I63)*(Fixtures!E$5:E$76&lt;&gt;"")*(Fixtures!F$5:F$76&lt;&gt;"")*((Fixtures!F$5:F$76&gt;Fixtures!E$5:E$76)*3+(Fixtures!E$5:E$76=Fixtures!F$5:F$76)*2)))</f>
        <v/>
      </c>
      <c r="K63">
        <f>IF(I63="","",COUNTIFS(Fixtures!D$5:D$76,I63,Fixtures!J$5:J$76,"W")+COUNTIFS(Fixtures!G$5:G$76,I63,Fixtures!K$5:K$76,"W"))</f>
        <v/>
      </c>
      <c r="L63">
        <f>IF(I63="","",COUNTIFS(Fixtures!D$5:D$76,I63,Fixtures!J$5:J$76,"D")+COUNTIFS(Fixtures!G$5:G$76,I63,Fixtures!K$5:K$76,"D"))</f>
        <v/>
      </c>
      <c r="M63">
        <f>IF(I63="","",SUMPRODUCT((Fixtures!D$5:D$76=I63)*(Fixtures!E$5:E$76&lt;&gt;"")*(Fixtures!F$5:F$76&lt;&gt;"")*(Fixtures!E$5:E$76-Fixtures!F$5:F$76))+SUMPRODUCT((Fixtures!G$5:G$76=I63)*(Fixtures!E$5:E$76&lt;&gt;"")*(Fixtures!F$5:F$76&lt;&gt;"")*(Fixtures!F$5:F$76-Fixtures!E$5:E$76)))</f>
        <v/>
      </c>
      <c r="N63">
        <f>IF(H63="","",COUNTIFS($J$5:$J$104,"&gt;"&amp;J63,$H$5:$H$104,"&lt;&gt;")+COUNTIFS($J$5:$J63,J63,$H$5:$H63,"&lt;&gt;"))</f>
        <v/>
      </c>
    </row>
    <row r="64">
      <c r="A64" s="43" t="n">
        <v>60</v>
      </c>
      <c r="B64" s="44">
        <f>IFERROR(INDEX($H$5:$H$104,MATCH(60,$N$5:$N$104,0)),"")</f>
        <v/>
      </c>
      <c r="C64" s="44">
        <f>IFERROR(INDEX($I$5:$I$104,MATCH(60,$N$5:$N$104,0)),"")</f>
        <v/>
      </c>
      <c r="D64" s="43">
        <f>IFERROR(INDEX($J$5:$J$104,MATCH(60,$N$5:$N$104,0)),"")</f>
        <v/>
      </c>
      <c r="E64" s="43">
        <f>IFERROR(INDEX($K$5:$K$104,MATCH(60,$N$5:$N$104,0)),"")</f>
        <v/>
      </c>
      <c r="F64" s="43">
        <f>IFERROR(INDEX($L$5:$L$104,MATCH(60,$N$5:$N$104,0)),"")</f>
        <v/>
      </c>
      <c r="H64">
        <f>IF(Allocation!B65="","",Allocation!B65)</f>
        <v/>
      </c>
      <c r="I64">
        <f>IF(Allocation!C65="","",Allocation!C65)</f>
        <v/>
      </c>
      <c r="J64">
        <f>IF(I64="","",SUMPRODUCT((Fixtures!D$5:D$76=I64)*(Fixtures!E$5:E$76&lt;&gt;"")*(Fixtures!F$5:F$76&lt;&gt;"")*((Fixtures!E$5:E$76&gt;Fixtures!F$5:F$76)*3+(Fixtures!E$5:E$76=Fixtures!F$5:F$76)*2))+SUMPRODUCT((Fixtures!G$5:G$76=I64)*(Fixtures!E$5:E$76&lt;&gt;"")*(Fixtures!F$5:F$76&lt;&gt;"")*((Fixtures!F$5:F$76&gt;Fixtures!E$5:E$76)*3+(Fixtures!E$5:E$76=Fixtures!F$5:F$76)*2)))</f>
        <v/>
      </c>
      <c r="K64">
        <f>IF(I64="","",COUNTIFS(Fixtures!D$5:D$76,I64,Fixtures!J$5:J$76,"W")+COUNTIFS(Fixtures!G$5:G$76,I64,Fixtures!K$5:K$76,"W"))</f>
        <v/>
      </c>
      <c r="L64">
        <f>IF(I64="","",COUNTIFS(Fixtures!D$5:D$76,I64,Fixtures!J$5:J$76,"D")+COUNTIFS(Fixtures!G$5:G$76,I64,Fixtures!K$5:K$76,"D"))</f>
        <v/>
      </c>
      <c r="M64">
        <f>IF(I64="","",SUMPRODUCT((Fixtures!D$5:D$76=I64)*(Fixtures!E$5:E$76&lt;&gt;"")*(Fixtures!F$5:F$76&lt;&gt;"")*(Fixtures!E$5:E$76-Fixtures!F$5:F$76))+SUMPRODUCT((Fixtures!G$5:G$76=I64)*(Fixtures!E$5:E$76&lt;&gt;"")*(Fixtures!F$5:F$76&lt;&gt;"")*(Fixtures!F$5:F$76-Fixtures!E$5:E$76)))</f>
        <v/>
      </c>
      <c r="N64">
        <f>IF(H64="","",COUNTIFS($J$5:$J$104,"&gt;"&amp;J64,$H$5:$H$104,"&lt;&gt;")+COUNTIFS($J$5:$J64,J64,$H$5:$H64,"&lt;&gt;"))</f>
        <v/>
      </c>
    </row>
    <row r="65">
      <c r="A65" s="43" t="n">
        <v>61</v>
      </c>
      <c r="B65" s="44">
        <f>IFERROR(INDEX($H$5:$H$104,MATCH(61,$N$5:$N$104,0)),"")</f>
        <v/>
      </c>
      <c r="C65" s="44">
        <f>IFERROR(INDEX($I$5:$I$104,MATCH(61,$N$5:$N$104,0)),"")</f>
        <v/>
      </c>
      <c r="D65" s="43">
        <f>IFERROR(INDEX($J$5:$J$104,MATCH(61,$N$5:$N$104,0)),"")</f>
        <v/>
      </c>
      <c r="E65" s="43">
        <f>IFERROR(INDEX($K$5:$K$104,MATCH(61,$N$5:$N$104,0)),"")</f>
        <v/>
      </c>
      <c r="F65" s="43">
        <f>IFERROR(INDEX($L$5:$L$104,MATCH(61,$N$5:$N$104,0)),"")</f>
        <v/>
      </c>
      <c r="H65">
        <f>IF(Allocation!B66="","",Allocation!B66)</f>
        <v/>
      </c>
      <c r="I65">
        <f>IF(Allocation!C66="","",Allocation!C66)</f>
        <v/>
      </c>
      <c r="J65">
        <f>IF(I65="","",SUMPRODUCT((Fixtures!D$5:D$76=I65)*(Fixtures!E$5:E$76&lt;&gt;"")*(Fixtures!F$5:F$76&lt;&gt;"")*((Fixtures!E$5:E$76&gt;Fixtures!F$5:F$76)*3+(Fixtures!E$5:E$76=Fixtures!F$5:F$76)*2))+SUMPRODUCT((Fixtures!G$5:G$76=I65)*(Fixtures!E$5:E$76&lt;&gt;"")*(Fixtures!F$5:F$76&lt;&gt;"")*((Fixtures!F$5:F$76&gt;Fixtures!E$5:E$76)*3+(Fixtures!E$5:E$76=Fixtures!F$5:F$76)*2)))</f>
        <v/>
      </c>
      <c r="K65">
        <f>IF(I65="","",COUNTIFS(Fixtures!D$5:D$76,I65,Fixtures!J$5:J$76,"W")+COUNTIFS(Fixtures!G$5:G$76,I65,Fixtures!K$5:K$76,"W"))</f>
        <v/>
      </c>
      <c r="L65">
        <f>IF(I65="","",COUNTIFS(Fixtures!D$5:D$76,I65,Fixtures!J$5:J$76,"D")+COUNTIFS(Fixtures!G$5:G$76,I65,Fixtures!K$5:K$76,"D"))</f>
        <v/>
      </c>
      <c r="M65">
        <f>IF(I65="","",SUMPRODUCT((Fixtures!D$5:D$76=I65)*(Fixtures!E$5:E$76&lt;&gt;"")*(Fixtures!F$5:F$76&lt;&gt;"")*(Fixtures!E$5:E$76-Fixtures!F$5:F$76))+SUMPRODUCT((Fixtures!G$5:G$76=I65)*(Fixtures!E$5:E$76&lt;&gt;"")*(Fixtures!F$5:F$76&lt;&gt;"")*(Fixtures!F$5:F$76-Fixtures!E$5:E$76)))</f>
        <v/>
      </c>
      <c r="N65">
        <f>IF(H65="","",COUNTIFS($J$5:$J$104,"&gt;"&amp;J65,$H$5:$H$104,"&lt;&gt;")+COUNTIFS($J$5:$J65,J65,$H$5:$H65,"&lt;&gt;"))</f>
        <v/>
      </c>
    </row>
    <row r="66">
      <c r="A66" s="43" t="n">
        <v>62</v>
      </c>
      <c r="B66" s="44">
        <f>IFERROR(INDEX($H$5:$H$104,MATCH(62,$N$5:$N$104,0)),"")</f>
        <v/>
      </c>
      <c r="C66" s="44">
        <f>IFERROR(INDEX($I$5:$I$104,MATCH(62,$N$5:$N$104,0)),"")</f>
        <v/>
      </c>
      <c r="D66" s="43">
        <f>IFERROR(INDEX($J$5:$J$104,MATCH(62,$N$5:$N$104,0)),"")</f>
        <v/>
      </c>
      <c r="E66" s="43">
        <f>IFERROR(INDEX($K$5:$K$104,MATCH(62,$N$5:$N$104,0)),"")</f>
        <v/>
      </c>
      <c r="F66" s="43">
        <f>IFERROR(INDEX($L$5:$L$104,MATCH(62,$N$5:$N$104,0)),"")</f>
        <v/>
      </c>
      <c r="H66">
        <f>IF(Allocation!B67="","",Allocation!B67)</f>
        <v/>
      </c>
      <c r="I66">
        <f>IF(Allocation!C67="","",Allocation!C67)</f>
        <v/>
      </c>
      <c r="J66">
        <f>IF(I66="","",SUMPRODUCT((Fixtures!D$5:D$76=I66)*(Fixtures!E$5:E$76&lt;&gt;"")*(Fixtures!F$5:F$76&lt;&gt;"")*((Fixtures!E$5:E$76&gt;Fixtures!F$5:F$76)*3+(Fixtures!E$5:E$76=Fixtures!F$5:F$76)*2))+SUMPRODUCT((Fixtures!G$5:G$76=I66)*(Fixtures!E$5:E$76&lt;&gt;"")*(Fixtures!F$5:F$76&lt;&gt;"")*((Fixtures!F$5:F$76&gt;Fixtures!E$5:E$76)*3+(Fixtures!E$5:E$76=Fixtures!F$5:F$76)*2)))</f>
        <v/>
      </c>
      <c r="K66">
        <f>IF(I66="","",COUNTIFS(Fixtures!D$5:D$76,I66,Fixtures!J$5:J$76,"W")+COUNTIFS(Fixtures!G$5:G$76,I66,Fixtures!K$5:K$76,"W"))</f>
        <v/>
      </c>
      <c r="L66">
        <f>IF(I66="","",COUNTIFS(Fixtures!D$5:D$76,I66,Fixtures!J$5:J$76,"D")+COUNTIFS(Fixtures!G$5:G$76,I66,Fixtures!K$5:K$76,"D"))</f>
        <v/>
      </c>
      <c r="M66">
        <f>IF(I66="","",SUMPRODUCT((Fixtures!D$5:D$76=I66)*(Fixtures!E$5:E$76&lt;&gt;"")*(Fixtures!F$5:F$76&lt;&gt;"")*(Fixtures!E$5:E$76-Fixtures!F$5:F$76))+SUMPRODUCT((Fixtures!G$5:G$76=I66)*(Fixtures!E$5:E$76&lt;&gt;"")*(Fixtures!F$5:F$76&lt;&gt;"")*(Fixtures!F$5:F$76-Fixtures!E$5:E$76)))</f>
        <v/>
      </c>
      <c r="N66">
        <f>IF(H66="","",COUNTIFS($J$5:$J$104,"&gt;"&amp;J66,$H$5:$H$104,"&lt;&gt;")+COUNTIFS($J$5:$J66,J66,$H$5:$H66,"&lt;&gt;"))</f>
        <v/>
      </c>
    </row>
    <row r="67">
      <c r="A67" s="43" t="n">
        <v>63</v>
      </c>
      <c r="B67" s="44">
        <f>IFERROR(INDEX($H$5:$H$104,MATCH(63,$N$5:$N$104,0)),"")</f>
        <v/>
      </c>
      <c r="C67" s="44">
        <f>IFERROR(INDEX($I$5:$I$104,MATCH(63,$N$5:$N$104,0)),"")</f>
        <v/>
      </c>
      <c r="D67" s="43">
        <f>IFERROR(INDEX($J$5:$J$104,MATCH(63,$N$5:$N$104,0)),"")</f>
        <v/>
      </c>
      <c r="E67" s="43">
        <f>IFERROR(INDEX($K$5:$K$104,MATCH(63,$N$5:$N$104,0)),"")</f>
        <v/>
      </c>
      <c r="F67" s="43">
        <f>IFERROR(INDEX($L$5:$L$104,MATCH(63,$N$5:$N$104,0)),"")</f>
        <v/>
      </c>
      <c r="H67">
        <f>IF(Allocation!B68="","",Allocation!B68)</f>
        <v/>
      </c>
      <c r="I67">
        <f>IF(Allocation!C68="","",Allocation!C68)</f>
        <v/>
      </c>
      <c r="J67">
        <f>IF(I67="","",SUMPRODUCT((Fixtures!D$5:D$76=I67)*(Fixtures!E$5:E$76&lt;&gt;"")*(Fixtures!F$5:F$76&lt;&gt;"")*((Fixtures!E$5:E$76&gt;Fixtures!F$5:F$76)*3+(Fixtures!E$5:E$76=Fixtures!F$5:F$76)*2))+SUMPRODUCT((Fixtures!G$5:G$76=I67)*(Fixtures!E$5:E$76&lt;&gt;"")*(Fixtures!F$5:F$76&lt;&gt;"")*((Fixtures!F$5:F$76&gt;Fixtures!E$5:E$76)*3+(Fixtures!E$5:E$76=Fixtures!F$5:F$76)*2)))</f>
        <v/>
      </c>
      <c r="K67">
        <f>IF(I67="","",COUNTIFS(Fixtures!D$5:D$76,I67,Fixtures!J$5:J$76,"W")+COUNTIFS(Fixtures!G$5:G$76,I67,Fixtures!K$5:K$76,"W"))</f>
        <v/>
      </c>
      <c r="L67">
        <f>IF(I67="","",COUNTIFS(Fixtures!D$5:D$76,I67,Fixtures!J$5:J$76,"D")+COUNTIFS(Fixtures!G$5:G$76,I67,Fixtures!K$5:K$76,"D"))</f>
        <v/>
      </c>
      <c r="M67">
        <f>IF(I67="","",SUMPRODUCT((Fixtures!D$5:D$76=I67)*(Fixtures!E$5:E$76&lt;&gt;"")*(Fixtures!F$5:F$76&lt;&gt;"")*(Fixtures!E$5:E$76-Fixtures!F$5:F$76))+SUMPRODUCT((Fixtures!G$5:G$76=I67)*(Fixtures!E$5:E$76&lt;&gt;"")*(Fixtures!F$5:F$76&lt;&gt;"")*(Fixtures!F$5:F$76-Fixtures!E$5:E$76)))</f>
        <v/>
      </c>
      <c r="N67">
        <f>IF(H67="","",COUNTIFS($J$5:$J$104,"&gt;"&amp;J67,$H$5:$H$104,"&lt;&gt;")+COUNTIFS($J$5:$J67,J67,$H$5:$H67,"&lt;&gt;"))</f>
        <v/>
      </c>
    </row>
    <row r="68">
      <c r="A68" s="43" t="n">
        <v>64</v>
      </c>
      <c r="B68" s="44">
        <f>IFERROR(INDEX($H$5:$H$104,MATCH(64,$N$5:$N$104,0)),"")</f>
        <v/>
      </c>
      <c r="C68" s="44">
        <f>IFERROR(INDEX($I$5:$I$104,MATCH(64,$N$5:$N$104,0)),"")</f>
        <v/>
      </c>
      <c r="D68" s="43">
        <f>IFERROR(INDEX($J$5:$J$104,MATCH(64,$N$5:$N$104,0)),"")</f>
        <v/>
      </c>
      <c r="E68" s="43">
        <f>IFERROR(INDEX($K$5:$K$104,MATCH(64,$N$5:$N$104,0)),"")</f>
        <v/>
      </c>
      <c r="F68" s="43">
        <f>IFERROR(INDEX($L$5:$L$104,MATCH(64,$N$5:$N$104,0)),"")</f>
        <v/>
      </c>
      <c r="H68">
        <f>IF(Allocation!B69="","",Allocation!B69)</f>
        <v/>
      </c>
      <c r="I68">
        <f>IF(Allocation!C69="","",Allocation!C69)</f>
        <v/>
      </c>
      <c r="J68">
        <f>IF(I68="","",SUMPRODUCT((Fixtures!D$5:D$76=I68)*(Fixtures!E$5:E$76&lt;&gt;"")*(Fixtures!F$5:F$76&lt;&gt;"")*((Fixtures!E$5:E$76&gt;Fixtures!F$5:F$76)*3+(Fixtures!E$5:E$76=Fixtures!F$5:F$76)*2))+SUMPRODUCT((Fixtures!G$5:G$76=I68)*(Fixtures!E$5:E$76&lt;&gt;"")*(Fixtures!F$5:F$76&lt;&gt;"")*((Fixtures!F$5:F$76&gt;Fixtures!E$5:E$76)*3+(Fixtures!E$5:E$76=Fixtures!F$5:F$76)*2)))</f>
        <v/>
      </c>
      <c r="K68">
        <f>IF(I68="","",COUNTIFS(Fixtures!D$5:D$76,I68,Fixtures!J$5:J$76,"W")+COUNTIFS(Fixtures!G$5:G$76,I68,Fixtures!K$5:K$76,"W"))</f>
        <v/>
      </c>
      <c r="L68">
        <f>IF(I68="","",COUNTIFS(Fixtures!D$5:D$76,I68,Fixtures!J$5:J$76,"D")+COUNTIFS(Fixtures!G$5:G$76,I68,Fixtures!K$5:K$76,"D"))</f>
        <v/>
      </c>
      <c r="M68">
        <f>IF(I68="","",SUMPRODUCT((Fixtures!D$5:D$76=I68)*(Fixtures!E$5:E$76&lt;&gt;"")*(Fixtures!F$5:F$76&lt;&gt;"")*(Fixtures!E$5:E$76-Fixtures!F$5:F$76))+SUMPRODUCT((Fixtures!G$5:G$76=I68)*(Fixtures!E$5:E$76&lt;&gt;"")*(Fixtures!F$5:F$76&lt;&gt;"")*(Fixtures!F$5:F$76-Fixtures!E$5:E$76)))</f>
        <v/>
      </c>
      <c r="N68">
        <f>IF(H68="","",COUNTIFS($J$5:$J$104,"&gt;"&amp;J68,$H$5:$H$104,"&lt;&gt;")+COUNTIFS($J$5:$J68,J68,$H$5:$H68,"&lt;&gt;"))</f>
        <v/>
      </c>
    </row>
    <row r="69">
      <c r="A69" s="43" t="n">
        <v>65</v>
      </c>
      <c r="B69" s="44">
        <f>IFERROR(INDEX($H$5:$H$104,MATCH(65,$N$5:$N$104,0)),"")</f>
        <v/>
      </c>
      <c r="C69" s="44">
        <f>IFERROR(INDEX($I$5:$I$104,MATCH(65,$N$5:$N$104,0)),"")</f>
        <v/>
      </c>
      <c r="D69" s="43">
        <f>IFERROR(INDEX($J$5:$J$104,MATCH(65,$N$5:$N$104,0)),"")</f>
        <v/>
      </c>
      <c r="E69" s="43">
        <f>IFERROR(INDEX($K$5:$K$104,MATCH(65,$N$5:$N$104,0)),"")</f>
        <v/>
      </c>
      <c r="F69" s="43">
        <f>IFERROR(INDEX($L$5:$L$104,MATCH(65,$N$5:$N$104,0)),"")</f>
        <v/>
      </c>
      <c r="H69">
        <f>IF(Allocation!B70="","",Allocation!B70)</f>
        <v/>
      </c>
      <c r="I69">
        <f>IF(Allocation!C70="","",Allocation!C70)</f>
        <v/>
      </c>
      <c r="J69">
        <f>IF(I69="","",SUMPRODUCT((Fixtures!D$5:D$76=I69)*(Fixtures!E$5:E$76&lt;&gt;"")*(Fixtures!F$5:F$76&lt;&gt;"")*((Fixtures!E$5:E$76&gt;Fixtures!F$5:F$76)*3+(Fixtures!E$5:E$76=Fixtures!F$5:F$76)*2))+SUMPRODUCT((Fixtures!G$5:G$76=I69)*(Fixtures!E$5:E$76&lt;&gt;"")*(Fixtures!F$5:F$76&lt;&gt;"")*((Fixtures!F$5:F$76&gt;Fixtures!E$5:E$76)*3+(Fixtures!E$5:E$76=Fixtures!F$5:F$76)*2)))</f>
        <v/>
      </c>
      <c r="K69">
        <f>IF(I69="","",COUNTIFS(Fixtures!D$5:D$76,I69,Fixtures!J$5:J$76,"W")+COUNTIFS(Fixtures!G$5:G$76,I69,Fixtures!K$5:K$76,"W"))</f>
        <v/>
      </c>
      <c r="L69">
        <f>IF(I69="","",COUNTIFS(Fixtures!D$5:D$76,I69,Fixtures!J$5:J$76,"D")+COUNTIFS(Fixtures!G$5:G$76,I69,Fixtures!K$5:K$76,"D"))</f>
        <v/>
      </c>
      <c r="M69">
        <f>IF(I69="","",SUMPRODUCT((Fixtures!D$5:D$76=I69)*(Fixtures!E$5:E$76&lt;&gt;"")*(Fixtures!F$5:F$76&lt;&gt;"")*(Fixtures!E$5:E$76-Fixtures!F$5:F$76))+SUMPRODUCT((Fixtures!G$5:G$76=I69)*(Fixtures!E$5:E$76&lt;&gt;"")*(Fixtures!F$5:F$76&lt;&gt;"")*(Fixtures!F$5:F$76-Fixtures!E$5:E$76)))</f>
        <v/>
      </c>
      <c r="N69">
        <f>IF(H69="","",COUNTIFS($J$5:$J$104,"&gt;"&amp;J69,$H$5:$H$104,"&lt;&gt;")+COUNTIFS($J$5:$J69,J69,$H$5:$H69,"&lt;&gt;"))</f>
        <v/>
      </c>
    </row>
    <row r="70">
      <c r="A70" s="43" t="n">
        <v>66</v>
      </c>
      <c r="B70" s="44">
        <f>IFERROR(INDEX($H$5:$H$104,MATCH(66,$N$5:$N$104,0)),"")</f>
        <v/>
      </c>
      <c r="C70" s="44">
        <f>IFERROR(INDEX($I$5:$I$104,MATCH(66,$N$5:$N$104,0)),"")</f>
        <v/>
      </c>
      <c r="D70" s="43">
        <f>IFERROR(INDEX($J$5:$J$104,MATCH(66,$N$5:$N$104,0)),"")</f>
        <v/>
      </c>
      <c r="E70" s="43">
        <f>IFERROR(INDEX($K$5:$K$104,MATCH(66,$N$5:$N$104,0)),"")</f>
        <v/>
      </c>
      <c r="F70" s="43">
        <f>IFERROR(INDEX($L$5:$L$104,MATCH(66,$N$5:$N$104,0)),"")</f>
        <v/>
      </c>
      <c r="H70">
        <f>IF(Allocation!B71="","",Allocation!B71)</f>
        <v/>
      </c>
      <c r="I70">
        <f>IF(Allocation!C71="","",Allocation!C71)</f>
        <v/>
      </c>
      <c r="J70">
        <f>IF(I70="","",SUMPRODUCT((Fixtures!D$5:D$76=I70)*(Fixtures!E$5:E$76&lt;&gt;"")*(Fixtures!F$5:F$76&lt;&gt;"")*((Fixtures!E$5:E$76&gt;Fixtures!F$5:F$76)*3+(Fixtures!E$5:E$76=Fixtures!F$5:F$76)*2))+SUMPRODUCT((Fixtures!G$5:G$76=I70)*(Fixtures!E$5:E$76&lt;&gt;"")*(Fixtures!F$5:F$76&lt;&gt;"")*((Fixtures!F$5:F$76&gt;Fixtures!E$5:E$76)*3+(Fixtures!E$5:E$76=Fixtures!F$5:F$76)*2)))</f>
        <v/>
      </c>
      <c r="K70">
        <f>IF(I70="","",COUNTIFS(Fixtures!D$5:D$76,I70,Fixtures!J$5:J$76,"W")+COUNTIFS(Fixtures!G$5:G$76,I70,Fixtures!K$5:K$76,"W"))</f>
        <v/>
      </c>
      <c r="L70">
        <f>IF(I70="","",COUNTIFS(Fixtures!D$5:D$76,I70,Fixtures!J$5:J$76,"D")+COUNTIFS(Fixtures!G$5:G$76,I70,Fixtures!K$5:K$76,"D"))</f>
        <v/>
      </c>
      <c r="M70">
        <f>IF(I70="","",SUMPRODUCT((Fixtures!D$5:D$76=I70)*(Fixtures!E$5:E$76&lt;&gt;"")*(Fixtures!F$5:F$76&lt;&gt;"")*(Fixtures!E$5:E$76-Fixtures!F$5:F$76))+SUMPRODUCT((Fixtures!G$5:G$76=I70)*(Fixtures!E$5:E$76&lt;&gt;"")*(Fixtures!F$5:F$76&lt;&gt;"")*(Fixtures!F$5:F$76-Fixtures!E$5:E$76)))</f>
        <v/>
      </c>
      <c r="N70">
        <f>IF(H70="","",COUNTIFS($J$5:$J$104,"&gt;"&amp;J70,$H$5:$H$104,"&lt;&gt;")+COUNTIFS($J$5:$J70,J70,$H$5:$H70,"&lt;&gt;"))</f>
        <v/>
      </c>
    </row>
    <row r="71">
      <c r="A71" s="43" t="n">
        <v>67</v>
      </c>
      <c r="B71" s="44">
        <f>IFERROR(INDEX($H$5:$H$104,MATCH(67,$N$5:$N$104,0)),"")</f>
        <v/>
      </c>
      <c r="C71" s="44">
        <f>IFERROR(INDEX($I$5:$I$104,MATCH(67,$N$5:$N$104,0)),"")</f>
        <v/>
      </c>
      <c r="D71" s="43">
        <f>IFERROR(INDEX($J$5:$J$104,MATCH(67,$N$5:$N$104,0)),"")</f>
        <v/>
      </c>
      <c r="E71" s="43">
        <f>IFERROR(INDEX($K$5:$K$104,MATCH(67,$N$5:$N$104,0)),"")</f>
        <v/>
      </c>
      <c r="F71" s="43">
        <f>IFERROR(INDEX($L$5:$L$104,MATCH(67,$N$5:$N$104,0)),"")</f>
        <v/>
      </c>
      <c r="H71">
        <f>IF(Allocation!B72="","",Allocation!B72)</f>
        <v/>
      </c>
      <c r="I71">
        <f>IF(Allocation!C72="","",Allocation!C72)</f>
        <v/>
      </c>
      <c r="J71">
        <f>IF(I71="","",SUMPRODUCT((Fixtures!D$5:D$76=I71)*(Fixtures!E$5:E$76&lt;&gt;"")*(Fixtures!F$5:F$76&lt;&gt;"")*((Fixtures!E$5:E$76&gt;Fixtures!F$5:F$76)*3+(Fixtures!E$5:E$76=Fixtures!F$5:F$76)*2))+SUMPRODUCT((Fixtures!G$5:G$76=I71)*(Fixtures!E$5:E$76&lt;&gt;"")*(Fixtures!F$5:F$76&lt;&gt;"")*((Fixtures!F$5:F$76&gt;Fixtures!E$5:E$76)*3+(Fixtures!E$5:E$76=Fixtures!F$5:F$76)*2)))</f>
        <v/>
      </c>
      <c r="K71">
        <f>IF(I71="","",COUNTIFS(Fixtures!D$5:D$76,I71,Fixtures!J$5:J$76,"W")+COUNTIFS(Fixtures!G$5:G$76,I71,Fixtures!K$5:K$76,"W"))</f>
        <v/>
      </c>
      <c r="L71">
        <f>IF(I71="","",COUNTIFS(Fixtures!D$5:D$76,I71,Fixtures!J$5:J$76,"D")+COUNTIFS(Fixtures!G$5:G$76,I71,Fixtures!K$5:K$76,"D"))</f>
        <v/>
      </c>
      <c r="M71">
        <f>IF(I71="","",SUMPRODUCT((Fixtures!D$5:D$76=I71)*(Fixtures!E$5:E$76&lt;&gt;"")*(Fixtures!F$5:F$76&lt;&gt;"")*(Fixtures!E$5:E$76-Fixtures!F$5:F$76))+SUMPRODUCT((Fixtures!G$5:G$76=I71)*(Fixtures!E$5:E$76&lt;&gt;"")*(Fixtures!F$5:F$76&lt;&gt;"")*(Fixtures!F$5:F$76-Fixtures!E$5:E$76)))</f>
        <v/>
      </c>
      <c r="N71">
        <f>IF(H71="","",COUNTIFS($J$5:$J$104,"&gt;"&amp;J71,$H$5:$H$104,"&lt;&gt;")+COUNTIFS($J$5:$J71,J71,$H$5:$H71,"&lt;&gt;"))</f>
        <v/>
      </c>
    </row>
    <row r="72">
      <c r="A72" s="43" t="n">
        <v>68</v>
      </c>
      <c r="B72" s="44">
        <f>IFERROR(INDEX($H$5:$H$104,MATCH(68,$N$5:$N$104,0)),"")</f>
        <v/>
      </c>
      <c r="C72" s="44">
        <f>IFERROR(INDEX($I$5:$I$104,MATCH(68,$N$5:$N$104,0)),"")</f>
        <v/>
      </c>
      <c r="D72" s="43">
        <f>IFERROR(INDEX($J$5:$J$104,MATCH(68,$N$5:$N$104,0)),"")</f>
        <v/>
      </c>
      <c r="E72" s="43">
        <f>IFERROR(INDEX($K$5:$K$104,MATCH(68,$N$5:$N$104,0)),"")</f>
        <v/>
      </c>
      <c r="F72" s="43">
        <f>IFERROR(INDEX($L$5:$L$104,MATCH(68,$N$5:$N$104,0)),"")</f>
        <v/>
      </c>
      <c r="H72">
        <f>IF(Allocation!B73="","",Allocation!B73)</f>
        <v/>
      </c>
      <c r="I72">
        <f>IF(Allocation!C73="","",Allocation!C73)</f>
        <v/>
      </c>
      <c r="J72">
        <f>IF(I72="","",SUMPRODUCT((Fixtures!D$5:D$76=I72)*(Fixtures!E$5:E$76&lt;&gt;"")*(Fixtures!F$5:F$76&lt;&gt;"")*((Fixtures!E$5:E$76&gt;Fixtures!F$5:F$76)*3+(Fixtures!E$5:E$76=Fixtures!F$5:F$76)*2))+SUMPRODUCT((Fixtures!G$5:G$76=I72)*(Fixtures!E$5:E$76&lt;&gt;"")*(Fixtures!F$5:F$76&lt;&gt;"")*((Fixtures!F$5:F$76&gt;Fixtures!E$5:E$76)*3+(Fixtures!E$5:E$76=Fixtures!F$5:F$76)*2)))</f>
        <v/>
      </c>
      <c r="K72">
        <f>IF(I72="","",COUNTIFS(Fixtures!D$5:D$76,I72,Fixtures!J$5:J$76,"W")+COUNTIFS(Fixtures!G$5:G$76,I72,Fixtures!K$5:K$76,"W"))</f>
        <v/>
      </c>
      <c r="L72">
        <f>IF(I72="","",COUNTIFS(Fixtures!D$5:D$76,I72,Fixtures!J$5:J$76,"D")+COUNTIFS(Fixtures!G$5:G$76,I72,Fixtures!K$5:K$76,"D"))</f>
        <v/>
      </c>
      <c r="M72">
        <f>IF(I72="","",SUMPRODUCT((Fixtures!D$5:D$76=I72)*(Fixtures!E$5:E$76&lt;&gt;"")*(Fixtures!F$5:F$76&lt;&gt;"")*(Fixtures!E$5:E$76-Fixtures!F$5:F$76))+SUMPRODUCT((Fixtures!G$5:G$76=I72)*(Fixtures!E$5:E$76&lt;&gt;"")*(Fixtures!F$5:F$76&lt;&gt;"")*(Fixtures!F$5:F$76-Fixtures!E$5:E$76)))</f>
        <v/>
      </c>
      <c r="N72">
        <f>IF(H72="","",COUNTIFS($J$5:$J$104,"&gt;"&amp;J72,$H$5:$H$104,"&lt;&gt;")+COUNTIFS($J$5:$J72,J72,$H$5:$H72,"&lt;&gt;"))</f>
        <v/>
      </c>
    </row>
    <row r="73">
      <c r="A73" s="43" t="n">
        <v>69</v>
      </c>
      <c r="B73" s="44">
        <f>IFERROR(INDEX($H$5:$H$104,MATCH(69,$N$5:$N$104,0)),"")</f>
        <v/>
      </c>
      <c r="C73" s="44">
        <f>IFERROR(INDEX($I$5:$I$104,MATCH(69,$N$5:$N$104,0)),"")</f>
        <v/>
      </c>
      <c r="D73" s="43">
        <f>IFERROR(INDEX($J$5:$J$104,MATCH(69,$N$5:$N$104,0)),"")</f>
        <v/>
      </c>
      <c r="E73" s="43">
        <f>IFERROR(INDEX($K$5:$K$104,MATCH(69,$N$5:$N$104,0)),"")</f>
        <v/>
      </c>
      <c r="F73" s="43">
        <f>IFERROR(INDEX($L$5:$L$104,MATCH(69,$N$5:$N$104,0)),"")</f>
        <v/>
      </c>
      <c r="H73">
        <f>IF(Allocation!B74="","",Allocation!B74)</f>
        <v/>
      </c>
      <c r="I73">
        <f>IF(Allocation!C74="","",Allocation!C74)</f>
        <v/>
      </c>
      <c r="J73">
        <f>IF(I73="","",SUMPRODUCT((Fixtures!D$5:D$76=I73)*(Fixtures!E$5:E$76&lt;&gt;"")*(Fixtures!F$5:F$76&lt;&gt;"")*((Fixtures!E$5:E$76&gt;Fixtures!F$5:F$76)*3+(Fixtures!E$5:E$76=Fixtures!F$5:F$76)*2))+SUMPRODUCT((Fixtures!G$5:G$76=I73)*(Fixtures!E$5:E$76&lt;&gt;"")*(Fixtures!F$5:F$76&lt;&gt;"")*((Fixtures!F$5:F$76&gt;Fixtures!E$5:E$76)*3+(Fixtures!E$5:E$76=Fixtures!F$5:F$76)*2)))</f>
        <v/>
      </c>
      <c r="K73">
        <f>IF(I73="","",COUNTIFS(Fixtures!D$5:D$76,I73,Fixtures!J$5:J$76,"W")+COUNTIFS(Fixtures!G$5:G$76,I73,Fixtures!K$5:K$76,"W"))</f>
        <v/>
      </c>
      <c r="L73">
        <f>IF(I73="","",COUNTIFS(Fixtures!D$5:D$76,I73,Fixtures!J$5:J$76,"D")+COUNTIFS(Fixtures!G$5:G$76,I73,Fixtures!K$5:K$76,"D"))</f>
        <v/>
      </c>
      <c r="M73">
        <f>IF(I73="","",SUMPRODUCT((Fixtures!D$5:D$76=I73)*(Fixtures!E$5:E$76&lt;&gt;"")*(Fixtures!F$5:F$76&lt;&gt;"")*(Fixtures!E$5:E$76-Fixtures!F$5:F$76))+SUMPRODUCT((Fixtures!G$5:G$76=I73)*(Fixtures!E$5:E$76&lt;&gt;"")*(Fixtures!F$5:F$76&lt;&gt;"")*(Fixtures!F$5:F$76-Fixtures!E$5:E$76)))</f>
        <v/>
      </c>
      <c r="N73">
        <f>IF(H73="","",COUNTIFS($J$5:$J$104,"&gt;"&amp;J73,$H$5:$H$104,"&lt;&gt;")+COUNTIFS($J$5:$J73,J73,$H$5:$H73,"&lt;&gt;"))</f>
        <v/>
      </c>
    </row>
    <row r="74">
      <c r="A74" s="43" t="n">
        <v>70</v>
      </c>
      <c r="B74" s="44">
        <f>IFERROR(INDEX($H$5:$H$104,MATCH(70,$N$5:$N$104,0)),"")</f>
        <v/>
      </c>
      <c r="C74" s="44">
        <f>IFERROR(INDEX($I$5:$I$104,MATCH(70,$N$5:$N$104,0)),"")</f>
        <v/>
      </c>
      <c r="D74" s="43">
        <f>IFERROR(INDEX($J$5:$J$104,MATCH(70,$N$5:$N$104,0)),"")</f>
        <v/>
      </c>
      <c r="E74" s="43">
        <f>IFERROR(INDEX($K$5:$K$104,MATCH(70,$N$5:$N$104,0)),"")</f>
        <v/>
      </c>
      <c r="F74" s="43">
        <f>IFERROR(INDEX($L$5:$L$104,MATCH(70,$N$5:$N$104,0)),"")</f>
        <v/>
      </c>
      <c r="H74">
        <f>IF(Allocation!B75="","",Allocation!B75)</f>
        <v/>
      </c>
      <c r="I74">
        <f>IF(Allocation!C75="","",Allocation!C75)</f>
        <v/>
      </c>
      <c r="J74">
        <f>IF(I74="","",SUMPRODUCT((Fixtures!D$5:D$76=I74)*(Fixtures!E$5:E$76&lt;&gt;"")*(Fixtures!F$5:F$76&lt;&gt;"")*((Fixtures!E$5:E$76&gt;Fixtures!F$5:F$76)*3+(Fixtures!E$5:E$76=Fixtures!F$5:F$76)*2))+SUMPRODUCT((Fixtures!G$5:G$76=I74)*(Fixtures!E$5:E$76&lt;&gt;"")*(Fixtures!F$5:F$76&lt;&gt;"")*((Fixtures!F$5:F$76&gt;Fixtures!E$5:E$76)*3+(Fixtures!E$5:E$76=Fixtures!F$5:F$76)*2)))</f>
        <v/>
      </c>
      <c r="K74">
        <f>IF(I74="","",COUNTIFS(Fixtures!D$5:D$76,I74,Fixtures!J$5:J$76,"W")+COUNTIFS(Fixtures!G$5:G$76,I74,Fixtures!K$5:K$76,"W"))</f>
        <v/>
      </c>
      <c r="L74">
        <f>IF(I74="","",COUNTIFS(Fixtures!D$5:D$76,I74,Fixtures!J$5:J$76,"D")+COUNTIFS(Fixtures!G$5:G$76,I74,Fixtures!K$5:K$76,"D"))</f>
        <v/>
      </c>
      <c r="M74">
        <f>IF(I74="","",SUMPRODUCT((Fixtures!D$5:D$76=I74)*(Fixtures!E$5:E$76&lt;&gt;"")*(Fixtures!F$5:F$76&lt;&gt;"")*(Fixtures!E$5:E$76-Fixtures!F$5:F$76))+SUMPRODUCT((Fixtures!G$5:G$76=I74)*(Fixtures!E$5:E$76&lt;&gt;"")*(Fixtures!F$5:F$76&lt;&gt;"")*(Fixtures!F$5:F$76-Fixtures!E$5:E$76)))</f>
        <v/>
      </c>
      <c r="N74">
        <f>IF(H74="","",COUNTIFS($J$5:$J$104,"&gt;"&amp;J74,$H$5:$H$104,"&lt;&gt;")+COUNTIFS($J$5:$J74,J74,$H$5:$H74,"&lt;&gt;"))</f>
        <v/>
      </c>
    </row>
    <row r="75">
      <c r="A75" s="43" t="n">
        <v>71</v>
      </c>
      <c r="B75" s="44">
        <f>IFERROR(INDEX($H$5:$H$104,MATCH(71,$N$5:$N$104,0)),"")</f>
        <v/>
      </c>
      <c r="C75" s="44">
        <f>IFERROR(INDEX($I$5:$I$104,MATCH(71,$N$5:$N$104,0)),"")</f>
        <v/>
      </c>
      <c r="D75" s="43">
        <f>IFERROR(INDEX($J$5:$J$104,MATCH(71,$N$5:$N$104,0)),"")</f>
        <v/>
      </c>
      <c r="E75" s="43">
        <f>IFERROR(INDEX($K$5:$K$104,MATCH(71,$N$5:$N$104,0)),"")</f>
        <v/>
      </c>
      <c r="F75" s="43">
        <f>IFERROR(INDEX($L$5:$L$104,MATCH(71,$N$5:$N$104,0)),"")</f>
        <v/>
      </c>
      <c r="H75">
        <f>IF(Allocation!B76="","",Allocation!B76)</f>
        <v/>
      </c>
      <c r="I75">
        <f>IF(Allocation!C76="","",Allocation!C76)</f>
        <v/>
      </c>
      <c r="J75">
        <f>IF(I75="","",SUMPRODUCT((Fixtures!D$5:D$76=I75)*(Fixtures!E$5:E$76&lt;&gt;"")*(Fixtures!F$5:F$76&lt;&gt;"")*((Fixtures!E$5:E$76&gt;Fixtures!F$5:F$76)*3+(Fixtures!E$5:E$76=Fixtures!F$5:F$76)*2))+SUMPRODUCT((Fixtures!G$5:G$76=I75)*(Fixtures!E$5:E$76&lt;&gt;"")*(Fixtures!F$5:F$76&lt;&gt;"")*((Fixtures!F$5:F$76&gt;Fixtures!E$5:E$76)*3+(Fixtures!E$5:E$76=Fixtures!F$5:F$76)*2)))</f>
        <v/>
      </c>
      <c r="K75">
        <f>IF(I75="","",COUNTIFS(Fixtures!D$5:D$76,I75,Fixtures!J$5:J$76,"W")+COUNTIFS(Fixtures!G$5:G$76,I75,Fixtures!K$5:K$76,"W"))</f>
        <v/>
      </c>
      <c r="L75">
        <f>IF(I75="","",COUNTIFS(Fixtures!D$5:D$76,I75,Fixtures!J$5:J$76,"D")+COUNTIFS(Fixtures!G$5:G$76,I75,Fixtures!K$5:K$76,"D"))</f>
        <v/>
      </c>
      <c r="M75">
        <f>IF(I75="","",SUMPRODUCT((Fixtures!D$5:D$76=I75)*(Fixtures!E$5:E$76&lt;&gt;"")*(Fixtures!F$5:F$76&lt;&gt;"")*(Fixtures!E$5:E$76-Fixtures!F$5:F$76))+SUMPRODUCT((Fixtures!G$5:G$76=I75)*(Fixtures!E$5:E$76&lt;&gt;"")*(Fixtures!F$5:F$76&lt;&gt;"")*(Fixtures!F$5:F$76-Fixtures!E$5:E$76)))</f>
        <v/>
      </c>
      <c r="N75">
        <f>IF(H75="","",COUNTIFS($J$5:$J$104,"&gt;"&amp;J75,$H$5:$H$104,"&lt;&gt;")+COUNTIFS($J$5:$J75,J75,$H$5:$H75,"&lt;&gt;"))</f>
        <v/>
      </c>
    </row>
    <row r="76">
      <c r="A76" s="43" t="n">
        <v>72</v>
      </c>
      <c r="B76" s="44">
        <f>IFERROR(INDEX($H$5:$H$104,MATCH(72,$N$5:$N$104,0)),"")</f>
        <v/>
      </c>
      <c r="C76" s="44">
        <f>IFERROR(INDEX($I$5:$I$104,MATCH(72,$N$5:$N$104,0)),"")</f>
        <v/>
      </c>
      <c r="D76" s="43">
        <f>IFERROR(INDEX($J$5:$J$104,MATCH(72,$N$5:$N$104,0)),"")</f>
        <v/>
      </c>
      <c r="E76" s="43">
        <f>IFERROR(INDEX($K$5:$K$104,MATCH(72,$N$5:$N$104,0)),"")</f>
        <v/>
      </c>
      <c r="F76" s="43">
        <f>IFERROR(INDEX($L$5:$L$104,MATCH(72,$N$5:$N$104,0)),"")</f>
        <v/>
      </c>
      <c r="H76">
        <f>IF(Allocation!B77="","",Allocation!B77)</f>
        <v/>
      </c>
      <c r="I76">
        <f>IF(Allocation!C77="","",Allocation!C77)</f>
        <v/>
      </c>
      <c r="J76">
        <f>IF(I76="","",SUMPRODUCT((Fixtures!D$5:D$76=I76)*(Fixtures!E$5:E$76&lt;&gt;"")*(Fixtures!F$5:F$76&lt;&gt;"")*((Fixtures!E$5:E$76&gt;Fixtures!F$5:F$76)*3+(Fixtures!E$5:E$76=Fixtures!F$5:F$76)*2))+SUMPRODUCT((Fixtures!G$5:G$76=I76)*(Fixtures!E$5:E$76&lt;&gt;"")*(Fixtures!F$5:F$76&lt;&gt;"")*((Fixtures!F$5:F$76&gt;Fixtures!E$5:E$76)*3+(Fixtures!E$5:E$76=Fixtures!F$5:F$76)*2)))</f>
        <v/>
      </c>
      <c r="K76">
        <f>IF(I76="","",COUNTIFS(Fixtures!D$5:D$76,I76,Fixtures!J$5:J$76,"W")+COUNTIFS(Fixtures!G$5:G$76,I76,Fixtures!K$5:K$76,"W"))</f>
        <v/>
      </c>
      <c r="L76">
        <f>IF(I76="","",COUNTIFS(Fixtures!D$5:D$76,I76,Fixtures!J$5:J$76,"D")+COUNTIFS(Fixtures!G$5:G$76,I76,Fixtures!K$5:K$76,"D"))</f>
        <v/>
      </c>
      <c r="M76">
        <f>IF(I76="","",SUMPRODUCT((Fixtures!D$5:D$76=I76)*(Fixtures!E$5:E$76&lt;&gt;"")*(Fixtures!F$5:F$76&lt;&gt;"")*(Fixtures!E$5:E$76-Fixtures!F$5:F$76))+SUMPRODUCT((Fixtures!G$5:G$76=I76)*(Fixtures!E$5:E$76&lt;&gt;"")*(Fixtures!F$5:F$76&lt;&gt;"")*(Fixtures!F$5:F$76-Fixtures!E$5:E$76)))</f>
        <v/>
      </c>
      <c r="N76">
        <f>IF(H76="","",COUNTIFS($J$5:$J$104,"&gt;"&amp;J76,$H$5:$H$104,"&lt;&gt;")+COUNTIFS($J$5:$J76,J76,$H$5:$H76,"&lt;&gt;"))</f>
        <v/>
      </c>
    </row>
    <row r="77">
      <c r="A77" s="43" t="n">
        <v>73</v>
      </c>
      <c r="B77" s="44">
        <f>IFERROR(INDEX($H$5:$H$104,MATCH(73,$N$5:$N$104,0)),"")</f>
        <v/>
      </c>
      <c r="C77" s="44">
        <f>IFERROR(INDEX($I$5:$I$104,MATCH(73,$N$5:$N$104,0)),"")</f>
        <v/>
      </c>
      <c r="D77" s="43">
        <f>IFERROR(INDEX($J$5:$J$104,MATCH(73,$N$5:$N$104,0)),"")</f>
        <v/>
      </c>
      <c r="E77" s="43">
        <f>IFERROR(INDEX($K$5:$K$104,MATCH(73,$N$5:$N$104,0)),"")</f>
        <v/>
      </c>
      <c r="F77" s="43">
        <f>IFERROR(INDEX($L$5:$L$104,MATCH(73,$N$5:$N$104,0)),"")</f>
        <v/>
      </c>
      <c r="H77">
        <f>IF(Allocation!B78="","",Allocation!B78)</f>
        <v/>
      </c>
      <c r="I77">
        <f>IF(Allocation!C78="","",Allocation!C78)</f>
        <v/>
      </c>
      <c r="J77">
        <f>IF(I77="","",SUMPRODUCT((Fixtures!D$5:D$76=I77)*(Fixtures!E$5:E$76&lt;&gt;"")*(Fixtures!F$5:F$76&lt;&gt;"")*((Fixtures!E$5:E$76&gt;Fixtures!F$5:F$76)*3+(Fixtures!E$5:E$76=Fixtures!F$5:F$76)*2))+SUMPRODUCT((Fixtures!G$5:G$76=I77)*(Fixtures!E$5:E$76&lt;&gt;"")*(Fixtures!F$5:F$76&lt;&gt;"")*((Fixtures!F$5:F$76&gt;Fixtures!E$5:E$76)*3+(Fixtures!E$5:E$76=Fixtures!F$5:F$76)*2)))</f>
        <v/>
      </c>
      <c r="K77">
        <f>IF(I77="","",COUNTIFS(Fixtures!D$5:D$76,I77,Fixtures!J$5:J$76,"W")+COUNTIFS(Fixtures!G$5:G$76,I77,Fixtures!K$5:K$76,"W"))</f>
        <v/>
      </c>
      <c r="L77">
        <f>IF(I77="","",COUNTIFS(Fixtures!D$5:D$76,I77,Fixtures!J$5:J$76,"D")+COUNTIFS(Fixtures!G$5:G$76,I77,Fixtures!K$5:K$76,"D"))</f>
        <v/>
      </c>
      <c r="M77">
        <f>IF(I77="","",SUMPRODUCT((Fixtures!D$5:D$76=I77)*(Fixtures!E$5:E$76&lt;&gt;"")*(Fixtures!F$5:F$76&lt;&gt;"")*(Fixtures!E$5:E$76-Fixtures!F$5:F$76))+SUMPRODUCT((Fixtures!G$5:G$76=I77)*(Fixtures!E$5:E$76&lt;&gt;"")*(Fixtures!F$5:F$76&lt;&gt;"")*(Fixtures!F$5:F$76-Fixtures!E$5:E$76)))</f>
        <v/>
      </c>
      <c r="N77">
        <f>IF(H77="","",COUNTIFS($J$5:$J$104,"&gt;"&amp;J77,$H$5:$H$104,"&lt;&gt;")+COUNTIFS($J$5:$J77,J77,$H$5:$H77,"&lt;&gt;"))</f>
        <v/>
      </c>
    </row>
    <row r="78">
      <c r="A78" s="43" t="n">
        <v>74</v>
      </c>
      <c r="B78" s="44">
        <f>IFERROR(INDEX($H$5:$H$104,MATCH(74,$N$5:$N$104,0)),"")</f>
        <v/>
      </c>
      <c r="C78" s="44">
        <f>IFERROR(INDEX($I$5:$I$104,MATCH(74,$N$5:$N$104,0)),"")</f>
        <v/>
      </c>
      <c r="D78" s="43">
        <f>IFERROR(INDEX($J$5:$J$104,MATCH(74,$N$5:$N$104,0)),"")</f>
        <v/>
      </c>
      <c r="E78" s="43">
        <f>IFERROR(INDEX($K$5:$K$104,MATCH(74,$N$5:$N$104,0)),"")</f>
        <v/>
      </c>
      <c r="F78" s="43">
        <f>IFERROR(INDEX($L$5:$L$104,MATCH(74,$N$5:$N$104,0)),"")</f>
        <v/>
      </c>
      <c r="H78">
        <f>IF(Allocation!B79="","",Allocation!B79)</f>
        <v/>
      </c>
      <c r="I78">
        <f>IF(Allocation!C79="","",Allocation!C79)</f>
        <v/>
      </c>
      <c r="J78">
        <f>IF(I78="","",SUMPRODUCT((Fixtures!D$5:D$76=I78)*(Fixtures!E$5:E$76&lt;&gt;"")*(Fixtures!F$5:F$76&lt;&gt;"")*((Fixtures!E$5:E$76&gt;Fixtures!F$5:F$76)*3+(Fixtures!E$5:E$76=Fixtures!F$5:F$76)*2))+SUMPRODUCT((Fixtures!G$5:G$76=I78)*(Fixtures!E$5:E$76&lt;&gt;"")*(Fixtures!F$5:F$76&lt;&gt;"")*((Fixtures!F$5:F$76&gt;Fixtures!E$5:E$76)*3+(Fixtures!E$5:E$76=Fixtures!F$5:F$76)*2)))</f>
        <v/>
      </c>
      <c r="K78">
        <f>IF(I78="","",COUNTIFS(Fixtures!D$5:D$76,I78,Fixtures!J$5:J$76,"W")+COUNTIFS(Fixtures!G$5:G$76,I78,Fixtures!K$5:K$76,"W"))</f>
        <v/>
      </c>
      <c r="L78">
        <f>IF(I78="","",COUNTIFS(Fixtures!D$5:D$76,I78,Fixtures!J$5:J$76,"D")+COUNTIFS(Fixtures!G$5:G$76,I78,Fixtures!K$5:K$76,"D"))</f>
        <v/>
      </c>
      <c r="M78">
        <f>IF(I78="","",SUMPRODUCT((Fixtures!D$5:D$76=I78)*(Fixtures!E$5:E$76&lt;&gt;"")*(Fixtures!F$5:F$76&lt;&gt;"")*(Fixtures!E$5:E$76-Fixtures!F$5:F$76))+SUMPRODUCT((Fixtures!G$5:G$76=I78)*(Fixtures!E$5:E$76&lt;&gt;"")*(Fixtures!F$5:F$76&lt;&gt;"")*(Fixtures!F$5:F$76-Fixtures!E$5:E$76)))</f>
        <v/>
      </c>
      <c r="N78">
        <f>IF(H78="","",COUNTIFS($J$5:$J$104,"&gt;"&amp;J78,$H$5:$H$104,"&lt;&gt;")+COUNTIFS($J$5:$J78,J78,$H$5:$H78,"&lt;&gt;"))</f>
        <v/>
      </c>
    </row>
    <row r="79">
      <c r="A79" s="43" t="n">
        <v>75</v>
      </c>
      <c r="B79" s="44">
        <f>IFERROR(INDEX($H$5:$H$104,MATCH(75,$N$5:$N$104,0)),"")</f>
        <v/>
      </c>
      <c r="C79" s="44">
        <f>IFERROR(INDEX($I$5:$I$104,MATCH(75,$N$5:$N$104,0)),"")</f>
        <v/>
      </c>
      <c r="D79" s="43">
        <f>IFERROR(INDEX($J$5:$J$104,MATCH(75,$N$5:$N$104,0)),"")</f>
        <v/>
      </c>
      <c r="E79" s="43">
        <f>IFERROR(INDEX($K$5:$K$104,MATCH(75,$N$5:$N$104,0)),"")</f>
        <v/>
      </c>
      <c r="F79" s="43">
        <f>IFERROR(INDEX($L$5:$L$104,MATCH(75,$N$5:$N$104,0)),"")</f>
        <v/>
      </c>
      <c r="H79">
        <f>IF(Allocation!B80="","",Allocation!B80)</f>
        <v/>
      </c>
      <c r="I79">
        <f>IF(Allocation!C80="","",Allocation!C80)</f>
        <v/>
      </c>
      <c r="J79">
        <f>IF(I79="","",SUMPRODUCT((Fixtures!D$5:D$76=I79)*(Fixtures!E$5:E$76&lt;&gt;"")*(Fixtures!F$5:F$76&lt;&gt;"")*((Fixtures!E$5:E$76&gt;Fixtures!F$5:F$76)*3+(Fixtures!E$5:E$76=Fixtures!F$5:F$76)*2))+SUMPRODUCT((Fixtures!G$5:G$76=I79)*(Fixtures!E$5:E$76&lt;&gt;"")*(Fixtures!F$5:F$76&lt;&gt;"")*((Fixtures!F$5:F$76&gt;Fixtures!E$5:E$76)*3+(Fixtures!E$5:E$76=Fixtures!F$5:F$76)*2)))</f>
        <v/>
      </c>
      <c r="K79">
        <f>IF(I79="","",COUNTIFS(Fixtures!D$5:D$76,I79,Fixtures!J$5:J$76,"W")+COUNTIFS(Fixtures!G$5:G$76,I79,Fixtures!K$5:K$76,"W"))</f>
        <v/>
      </c>
      <c r="L79">
        <f>IF(I79="","",COUNTIFS(Fixtures!D$5:D$76,I79,Fixtures!J$5:J$76,"D")+COUNTIFS(Fixtures!G$5:G$76,I79,Fixtures!K$5:K$76,"D"))</f>
        <v/>
      </c>
      <c r="M79">
        <f>IF(I79="","",SUMPRODUCT((Fixtures!D$5:D$76=I79)*(Fixtures!E$5:E$76&lt;&gt;"")*(Fixtures!F$5:F$76&lt;&gt;"")*(Fixtures!E$5:E$76-Fixtures!F$5:F$76))+SUMPRODUCT((Fixtures!G$5:G$76=I79)*(Fixtures!E$5:E$76&lt;&gt;"")*(Fixtures!F$5:F$76&lt;&gt;"")*(Fixtures!F$5:F$76-Fixtures!E$5:E$76)))</f>
        <v/>
      </c>
      <c r="N79">
        <f>IF(H79="","",COUNTIFS($J$5:$J$104,"&gt;"&amp;J79,$H$5:$H$104,"&lt;&gt;")+COUNTIFS($J$5:$J79,J79,$H$5:$H79,"&lt;&gt;"))</f>
        <v/>
      </c>
    </row>
    <row r="80">
      <c r="A80" s="43" t="n">
        <v>76</v>
      </c>
      <c r="B80" s="44">
        <f>IFERROR(INDEX($H$5:$H$104,MATCH(76,$N$5:$N$104,0)),"")</f>
        <v/>
      </c>
      <c r="C80" s="44">
        <f>IFERROR(INDEX($I$5:$I$104,MATCH(76,$N$5:$N$104,0)),"")</f>
        <v/>
      </c>
      <c r="D80" s="43">
        <f>IFERROR(INDEX($J$5:$J$104,MATCH(76,$N$5:$N$104,0)),"")</f>
        <v/>
      </c>
      <c r="E80" s="43">
        <f>IFERROR(INDEX($K$5:$K$104,MATCH(76,$N$5:$N$104,0)),"")</f>
        <v/>
      </c>
      <c r="F80" s="43">
        <f>IFERROR(INDEX($L$5:$L$104,MATCH(76,$N$5:$N$104,0)),"")</f>
        <v/>
      </c>
      <c r="H80">
        <f>IF(Allocation!B81="","",Allocation!B81)</f>
        <v/>
      </c>
      <c r="I80">
        <f>IF(Allocation!C81="","",Allocation!C81)</f>
        <v/>
      </c>
      <c r="J80">
        <f>IF(I80="","",SUMPRODUCT((Fixtures!D$5:D$76=I80)*(Fixtures!E$5:E$76&lt;&gt;"")*(Fixtures!F$5:F$76&lt;&gt;"")*((Fixtures!E$5:E$76&gt;Fixtures!F$5:F$76)*3+(Fixtures!E$5:E$76=Fixtures!F$5:F$76)*2))+SUMPRODUCT((Fixtures!G$5:G$76=I80)*(Fixtures!E$5:E$76&lt;&gt;"")*(Fixtures!F$5:F$76&lt;&gt;"")*((Fixtures!F$5:F$76&gt;Fixtures!E$5:E$76)*3+(Fixtures!E$5:E$76=Fixtures!F$5:F$76)*2)))</f>
        <v/>
      </c>
      <c r="K80">
        <f>IF(I80="","",COUNTIFS(Fixtures!D$5:D$76,I80,Fixtures!J$5:J$76,"W")+COUNTIFS(Fixtures!G$5:G$76,I80,Fixtures!K$5:K$76,"W"))</f>
        <v/>
      </c>
      <c r="L80">
        <f>IF(I80="","",COUNTIFS(Fixtures!D$5:D$76,I80,Fixtures!J$5:J$76,"D")+COUNTIFS(Fixtures!G$5:G$76,I80,Fixtures!K$5:K$76,"D"))</f>
        <v/>
      </c>
      <c r="M80">
        <f>IF(I80="","",SUMPRODUCT((Fixtures!D$5:D$76=I80)*(Fixtures!E$5:E$76&lt;&gt;"")*(Fixtures!F$5:F$76&lt;&gt;"")*(Fixtures!E$5:E$76-Fixtures!F$5:F$76))+SUMPRODUCT((Fixtures!G$5:G$76=I80)*(Fixtures!E$5:E$76&lt;&gt;"")*(Fixtures!F$5:F$76&lt;&gt;"")*(Fixtures!F$5:F$76-Fixtures!E$5:E$76)))</f>
        <v/>
      </c>
      <c r="N80">
        <f>IF(H80="","",COUNTIFS($J$5:$J$104,"&gt;"&amp;J80,$H$5:$H$104,"&lt;&gt;")+COUNTIFS($J$5:$J80,J80,$H$5:$H80,"&lt;&gt;"))</f>
        <v/>
      </c>
    </row>
    <row r="81">
      <c r="A81" s="43" t="n">
        <v>77</v>
      </c>
      <c r="B81" s="44">
        <f>IFERROR(INDEX($H$5:$H$104,MATCH(77,$N$5:$N$104,0)),"")</f>
        <v/>
      </c>
      <c r="C81" s="44">
        <f>IFERROR(INDEX($I$5:$I$104,MATCH(77,$N$5:$N$104,0)),"")</f>
        <v/>
      </c>
      <c r="D81" s="43">
        <f>IFERROR(INDEX($J$5:$J$104,MATCH(77,$N$5:$N$104,0)),"")</f>
        <v/>
      </c>
      <c r="E81" s="43">
        <f>IFERROR(INDEX($K$5:$K$104,MATCH(77,$N$5:$N$104,0)),"")</f>
        <v/>
      </c>
      <c r="F81" s="43">
        <f>IFERROR(INDEX($L$5:$L$104,MATCH(77,$N$5:$N$104,0)),"")</f>
        <v/>
      </c>
      <c r="H81">
        <f>IF(Allocation!B82="","",Allocation!B82)</f>
        <v/>
      </c>
      <c r="I81">
        <f>IF(Allocation!C82="","",Allocation!C82)</f>
        <v/>
      </c>
      <c r="J81">
        <f>IF(I81="","",SUMPRODUCT((Fixtures!D$5:D$76=I81)*(Fixtures!E$5:E$76&lt;&gt;"")*(Fixtures!F$5:F$76&lt;&gt;"")*((Fixtures!E$5:E$76&gt;Fixtures!F$5:F$76)*3+(Fixtures!E$5:E$76=Fixtures!F$5:F$76)*2))+SUMPRODUCT((Fixtures!G$5:G$76=I81)*(Fixtures!E$5:E$76&lt;&gt;"")*(Fixtures!F$5:F$76&lt;&gt;"")*((Fixtures!F$5:F$76&gt;Fixtures!E$5:E$76)*3+(Fixtures!E$5:E$76=Fixtures!F$5:F$76)*2)))</f>
        <v/>
      </c>
      <c r="K81">
        <f>IF(I81="","",COUNTIFS(Fixtures!D$5:D$76,I81,Fixtures!J$5:J$76,"W")+COUNTIFS(Fixtures!G$5:G$76,I81,Fixtures!K$5:K$76,"W"))</f>
        <v/>
      </c>
      <c r="L81">
        <f>IF(I81="","",COUNTIFS(Fixtures!D$5:D$76,I81,Fixtures!J$5:J$76,"D")+COUNTIFS(Fixtures!G$5:G$76,I81,Fixtures!K$5:K$76,"D"))</f>
        <v/>
      </c>
      <c r="M81">
        <f>IF(I81="","",SUMPRODUCT((Fixtures!D$5:D$76=I81)*(Fixtures!E$5:E$76&lt;&gt;"")*(Fixtures!F$5:F$76&lt;&gt;"")*(Fixtures!E$5:E$76-Fixtures!F$5:F$76))+SUMPRODUCT((Fixtures!G$5:G$76=I81)*(Fixtures!E$5:E$76&lt;&gt;"")*(Fixtures!F$5:F$76&lt;&gt;"")*(Fixtures!F$5:F$76-Fixtures!E$5:E$76)))</f>
        <v/>
      </c>
      <c r="N81">
        <f>IF(H81="","",COUNTIFS($J$5:$J$104,"&gt;"&amp;J81,$H$5:$H$104,"&lt;&gt;")+COUNTIFS($J$5:$J81,J81,$H$5:$H81,"&lt;&gt;"))</f>
        <v/>
      </c>
    </row>
    <row r="82">
      <c r="A82" s="43" t="n">
        <v>78</v>
      </c>
      <c r="B82" s="44">
        <f>IFERROR(INDEX($H$5:$H$104,MATCH(78,$N$5:$N$104,0)),"")</f>
        <v/>
      </c>
      <c r="C82" s="44">
        <f>IFERROR(INDEX($I$5:$I$104,MATCH(78,$N$5:$N$104,0)),"")</f>
        <v/>
      </c>
      <c r="D82" s="43">
        <f>IFERROR(INDEX($J$5:$J$104,MATCH(78,$N$5:$N$104,0)),"")</f>
        <v/>
      </c>
      <c r="E82" s="43">
        <f>IFERROR(INDEX($K$5:$K$104,MATCH(78,$N$5:$N$104,0)),"")</f>
        <v/>
      </c>
      <c r="F82" s="43">
        <f>IFERROR(INDEX($L$5:$L$104,MATCH(78,$N$5:$N$104,0)),"")</f>
        <v/>
      </c>
      <c r="H82">
        <f>IF(Allocation!B83="","",Allocation!B83)</f>
        <v/>
      </c>
      <c r="I82">
        <f>IF(Allocation!C83="","",Allocation!C83)</f>
        <v/>
      </c>
      <c r="J82">
        <f>IF(I82="","",SUMPRODUCT((Fixtures!D$5:D$76=I82)*(Fixtures!E$5:E$76&lt;&gt;"")*(Fixtures!F$5:F$76&lt;&gt;"")*((Fixtures!E$5:E$76&gt;Fixtures!F$5:F$76)*3+(Fixtures!E$5:E$76=Fixtures!F$5:F$76)*2))+SUMPRODUCT((Fixtures!G$5:G$76=I82)*(Fixtures!E$5:E$76&lt;&gt;"")*(Fixtures!F$5:F$76&lt;&gt;"")*((Fixtures!F$5:F$76&gt;Fixtures!E$5:E$76)*3+(Fixtures!E$5:E$76=Fixtures!F$5:F$76)*2)))</f>
        <v/>
      </c>
      <c r="K82">
        <f>IF(I82="","",COUNTIFS(Fixtures!D$5:D$76,I82,Fixtures!J$5:J$76,"W")+COUNTIFS(Fixtures!G$5:G$76,I82,Fixtures!K$5:K$76,"W"))</f>
        <v/>
      </c>
      <c r="L82">
        <f>IF(I82="","",COUNTIFS(Fixtures!D$5:D$76,I82,Fixtures!J$5:J$76,"D")+COUNTIFS(Fixtures!G$5:G$76,I82,Fixtures!K$5:K$76,"D"))</f>
        <v/>
      </c>
      <c r="M82">
        <f>IF(I82="","",SUMPRODUCT((Fixtures!D$5:D$76=I82)*(Fixtures!E$5:E$76&lt;&gt;"")*(Fixtures!F$5:F$76&lt;&gt;"")*(Fixtures!E$5:E$76-Fixtures!F$5:F$76))+SUMPRODUCT((Fixtures!G$5:G$76=I82)*(Fixtures!E$5:E$76&lt;&gt;"")*(Fixtures!F$5:F$76&lt;&gt;"")*(Fixtures!F$5:F$76-Fixtures!E$5:E$76)))</f>
        <v/>
      </c>
      <c r="N82">
        <f>IF(H82="","",COUNTIFS($J$5:$J$104,"&gt;"&amp;J82,$H$5:$H$104,"&lt;&gt;")+COUNTIFS($J$5:$J82,J82,$H$5:$H82,"&lt;&gt;"))</f>
        <v/>
      </c>
    </row>
    <row r="83">
      <c r="A83" s="43" t="n">
        <v>79</v>
      </c>
      <c r="B83" s="44">
        <f>IFERROR(INDEX($H$5:$H$104,MATCH(79,$N$5:$N$104,0)),"")</f>
        <v/>
      </c>
      <c r="C83" s="44">
        <f>IFERROR(INDEX($I$5:$I$104,MATCH(79,$N$5:$N$104,0)),"")</f>
        <v/>
      </c>
      <c r="D83" s="43">
        <f>IFERROR(INDEX($J$5:$J$104,MATCH(79,$N$5:$N$104,0)),"")</f>
        <v/>
      </c>
      <c r="E83" s="43">
        <f>IFERROR(INDEX($K$5:$K$104,MATCH(79,$N$5:$N$104,0)),"")</f>
        <v/>
      </c>
      <c r="F83" s="43">
        <f>IFERROR(INDEX($L$5:$L$104,MATCH(79,$N$5:$N$104,0)),"")</f>
        <v/>
      </c>
      <c r="H83">
        <f>IF(Allocation!B84="","",Allocation!B84)</f>
        <v/>
      </c>
      <c r="I83">
        <f>IF(Allocation!C84="","",Allocation!C84)</f>
        <v/>
      </c>
      <c r="J83">
        <f>IF(I83="","",SUMPRODUCT((Fixtures!D$5:D$76=I83)*(Fixtures!E$5:E$76&lt;&gt;"")*(Fixtures!F$5:F$76&lt;&gt;"")*((Fixtures!E$5:E$76&gt;Fixtures!F$5:F$76)*3+(Fixtures!E$5:E$76=Fixtures!F$5:F$76)*2))+SUMPRODUCT((Fixtures!G$5:G$76=I83)*(Fixtures!E$5:E$76&lt;&gt;"")*(Fixtures!F$5:F$76&lt;&gt;"")*((Fixtures!F$5:F$76&gt;Fixtures!E$5:E$76)*3+(Fixtures!E$5:E$76=Fixtures!F$5:F$76)*2)))</f>
        <v/>
      </c>
      <c r="K83">
        <f>IF(I83="","",COUNTIFS(Fixtures!D$5:D$76,I83,Fixtures!J$5:J$76,"W")+COUNTIFS(Fixtures!G$5:G$76,I83,Fixtures!K$5:K$76,"W"))</f>
        <v/>
      </c>
      <c r="L83">
        <f>IF(I83="","",COUNTIFS(Fixtures!D$5:D$76,I83,Fixtures!J$5:J$76,"D")+COUNTIFS(Fixtures!G$5:G$76,I83,Fixtures!K$5:K$76,"D"))</f>
        <v/>
      </c>
      <c r="M83">
        <f>IF(I83="","",SUMPRODUCT((Fixtures!D$5:D$76=I83)*(Fixtures!E$5:E$76&lt;&gt;"")*(Fixtures!F$5:F$76&lt;&gt;"")*(Fixtures!E$5:E$76-Fixtures!F$5:F$76))+SUMPRODUCT((Fixtures!G$5:G$76=I83)*(Fixtures!E$5:E$76&lt;&gt;"")*(Fixtures!F$5:F$76&lt;&gt;"")*(Fixtures!F$5:F$76-Fixtures!E$5:E$76)))</f>
        <v/>
      </c>
      <c r="N83">
        <f>IF(H83="","",COUNTIFS($J$5:$J$104,"&gt;"&amp;J83,$H$5:$H$104,"&lt;&gt;")+COUNTIFS($J$5:$J83,J83,$H$5:$H83,"&lt;&gt;"))</f>
        <v/>
      </c>
    </row>
    <row r="84">
      <c r="A84" s="43" t="n">
        <v>80</v>
      </c>
      <c r="B84" s="44">
        <f>IFERROR(INDEX($H$5:$H$104,MATCH(80,$N$5:$N$104,0)),"")</f>
        <v/>
      </c>
      <c r="C84" s="44">
        <f>IFERROR(INDEX($I$5:$I$104,MATCH(80,$N$5:$N$104,0)),"")</f>
        <v/>
      </c>
      <c r="D84" s="43">
        <f>IFERROR(INDEX($J$5:$J$104,MATCH(80,$N$5:$N$104,0)),"")</f>
        <v/>
      </c>
      <c r="E84" s="43">
        <f>IFERROR(INDEX($K$5:$K$104,MATCH(80,$N$5:$N$104,0)),"")</f>
        <v/>
      </c>
      <c r="F84" s="43">
        <f>IFERROR(INDEX($L$5:$L$104,MATCH(80,$N$5:$N$104,0)),"")</f>
        <v/>
      </c>
      <c r="H84">
        <f>IF(Allocation!B85="","",Allocation!B85)</f>
        <v/>
      </c>
      <c r="I84">
        <f>IF(Allocation!C85="","",Allocation!C85)</f>
        <v/>
      </c>
      <c r="J84">
        <f>IF(I84="","",SUMPRODUCT((Fixtures!D$5:D$76=I84)*(Fixtures!E$5:E$76&lt;&gt;"")*(Fixtures!F$5:F$76&lt;&gt;"")*((Fixtures!E$5:E$76&gt;Fixtures!F$5:F$76)*3+(Fixtures!E$5:E$76=Fixtures!F$5:F$76)*2))+SUMPRODUCT((Fixtures!G$5:G$76=I84)*(Fixtures!E$5:E$76&lt;&gt;"")*(Fixtures!F$5:F$76&lt;&gt;"")*((Fixtures!F$5:F$76&gt;Fixtures!E$5:E$76)*3+(Fixtures!E$5:E$76=Fixtures!F$5:F$76)*2)))</f>
        <v/>
      </c>
      <c r="K84">
        <f>IF(I84="","",COUNTIFS(Fixtures!D$5:D$76,I84,Fixtures!J$5:J$76,"W")+COUNTIFS(Fixtures!G$5:G$76,I84,Fixtures!K$5:K$76,"W"))</f>
        <v/>
      </c>
      <c r="L84">
        <f>IF(I84="","",COUNTIFS(Fixtures!D$5:D$76,I84,Fixtures!J$5:J$76,"D")+COUNTIFS(Fixtures!G$5:G$76,I84,Fixtures!K$5:K$76,"D"))</f>
        <v/>
      </c>
      <c r="M84">
        <f>IF(I84="","",SUMPRODUCT((Fixtures!D$5:D$76=I84)*(Fixtures!E$5:E$76&lt;&gt;"")*(Fixtures!F$5:F$76&lt;&gt;"")*(Fixtures!E$5:E$76-Fixtures!F$5:F$76))+SUMPRODUCT((Fixtures!G$5:G$76=I84)*(Fixtures!E$5:E$76&lt;&gt;"")*(Fixtures!F$5:F$76&lt;&gt;"")*(Fixtures!F$5:F$76-Fixtures!E$5:E$76)))</f>
        <v/>
      </c>
      <c r="N84">
        <f>IF(H84="","",COUNTIFS($J$5:$J$104,"&gt;"&amp;J84,$H$5:$H$104,"&lt;&gt;")+COUNTIFS($J$5:$J84,J84,$H$5:$H84,"&lt;&gt;"))</f>
        <v/>
      </c>
    </row>
    <row r="85">
      <c r="A85" s="43" t="n">
        <v>81</v>
      </c>
      <c r="B85" s="44">
        <f>IFERROR(INDEX($H$5:$H$104,MATCH(81,$N$5:$N$104,0)),"")</f>
        <v/>
      </c>
      <c r="C85" s="44">
        <f>IFERROR(INDEX($I$5:$I$104,MATCH(81,$N$5:$N$104,0)),"")</f>
        <v/>
      </c>
      <c r="D85" s="43">
        <f>IFERROR(INDEX($J$5:$J$104,MATCH(81,$N$5:$N$104,0)),"")</f>
        <v/>
      </c>
      <c r="E85" s="43">
        <f>IFERROR(INDEX($K$5:$K$104,MATCH(81,$N$5:$N$104,0)),"")</f>
        <v/>
      </c>
      <c r="F85" s="43">
        <f>IFERROR(INDEX($L$5:$L$104,MATCH(81,$N$5:$N$104,0)),"")</f>
        <v/>
      </c>
      <c r="H85">
        <f>IF(Allocation!B86="","",Allocation!B86)</f>
        <v/>
      </c>
      <c r="I85">
        <f>IF(Allocation!C86="","",Allocation!C86)</f>
        <v/>
      </c>
      <c r="J85">
        <f>IF(I85="","",SUMPRODUCT((Fixtures!D$5:D$76=I85)*(Fixtures!E$5:E$76&lt;&gt;"")*(Fixtures!F$5:F$76&lt;&gt;"")*((Fixtures!E$5:E$76&gt;Fixtures!F$5:F$76)*3+(Fixtures!E$5:E$76=Fixtures!F$5:F$76)*2))+SUMPRODUCT((Fixtures!G$5:G$76=I85)*(Fixtures!E$5:E$76&lt;&gt;"")*(Fixtures!F$5:F$76&lt;&gt;"")*((Fixtures!F$5:F$76&gt;Fixtures!E$5:E$76)*3+(Fixtures!E$5:E$76=Fixtures!F$5:F$76)*2)))</f>
        <v/>
      </c>
      <c r="K85">
        <f>IF(I85="","",COUNTIFS(Fixtures!D$5:D$76,I85,Fixtures!J$5:J$76,"W")+COUNTIFS(Fixtures!G$5:G$76,I85,Fixtures!K$5:K$76,"W"))</f>
        <v/>
      </c>
      <c r="L85">
        <f>IF(I85="","",COUNTIFS(Fixtures!D$5:D$76,I85,Fixtures!J$5:J$76,"D")+COUNTIFS(Fixtures!G$5:G$76,I85,Fixtures!K$5:K$76,"D"))</f>
        <v/>
      </c>
      <c r="M85">
        <f>IF(I85="","",SUMPRODUCT((Fixtures!D$5:D$76=I85)*(Fixtures!E$5:E$76&lt;&gt;"")*(Fixtures!F$5:F$76&lt;&gt;"")*(Fixtures!E$5:E$76-Fixtures!F$5:F$76))+SUMPRODUCT((Fixtures!G$5:G$76=I85)*(Fixtures!E$5:E$76&lt;&gt;"")*(Fixtures!F$5:F$76&lt;&gt;"")*(Fixtures!F$5:F$76-Fixtures!E$5:E$76)))</f>
        <v/>
      </c>
      <c r="N85">
        <f>IF(H85="","",COUNTIFS($J$5:$J$104,"&gt;"&amp;J85,$H$5:$H$104,"&lt;&gt;")+COUNTIFS($J$5:$J85,J85,$H$5:$H85,"&lt;&gt;"))</f>
        <v/>
      </c>
    </row>
    <row r="86">
      <c r="A86" s="43" t="n">
        <v>82</v>
      </c>
      <c r="B86" s="44">
        <f>IFERROR(INDEX($H$5:$H$104,MATCH(82,$N$5:$N$104,0)),"")</f>
        <v/>
      </c>
      <c r="C86" s="44">
        <f>IFERROR(INDEX($I$5:$I$104,MATCH(82,$N$5:$N$104,0)),"")</f>
        <v/>
      </c>
      <c r="D86" s="43">
        <f>IFERROR(INDEX($J$5:$J$104,MATCH(82,$N$5:$N$104,0)),"")</f>
        <v/>
      </c>
      <c r="E86" s="43">
        <f>IFERROR(INDEX($K$5:$K$104,MATCH(82,$N$5:$N$104,0)),"")</f>
        <v/>
      </c>
      <c r="F86" s="43">
        <f>IFERROR(INDEX($L$5:$L$104,MATCH(82,$N$5:$N$104,0)),"")</f>
        <v/>
      </c>
      <c r="H86">
        <f>IF(Allocation!B87="","",Allocation!B87)</f>
        <v/>
      </c>
      <c r="I86">
        <f>IF(Allocation!C87="","",Allocation!C87)</f>
        <v/>
      </c>
      <c r="J86">
        <f>IF(I86="","",SUMPRODUCT((Fixtures!D$5:D$76=I86)*(Fixtures!E$5:E$76&lt;&gt;"")*(Fixtures!F$5:F$76&lt;&gt;"")*((Fixtures!E$5:E$76&gt;Fixtures!F$5:F$76)*3+(Fixtures!E$5:E$76=Fixtures!F$5:F$76)*2))+SUMPRODUCT((Fixtures!G$5:G$76=I86)*(Fixtures!E$5:E$76&lt;&gt;"")*(Fixtures!F$5:F$76&lt;&gt;"")*((Fixtures!F$5:F$76&gt;Fixtures!E$5:E$76)*3+(Fixtures!E$5:E$76=Fixtures!F$5:F$76)*2)))</f>
        <v/>
      </c>
      <c r="K86">
        <f>IF(I86="","",COUNTIFS(Fixtures!D$5:D$76,I86,Fixtures!J$5:J$76,"W")+COUNTIFS(Fixtures!G$5:G$76,I86,Fixtures!K$5:K$76,"W"))</f>
        <v/>
      </c>
      <c r="L86">
        <f>IF(I86="","",COUNTIFS(Fixtures!D$5:D$76,I86,Fixtures!J$5:J$76,"D")+COUNTIFS(Fixtures!G$5:G$76,I86,Fixtures!K$5:K$76,"D"))</f>
        <v/>
      </c>
      <c r="M86">
        <f>IF(I86="","",SUMPRODUCT((Fixtures!D$5:D$76=I86)*(Fixtures!E$5:E$76&lt;&gt;"")*(Fixtures!F$5:F$76&lt;&gt;"")*(Fixtures!E$5:E$76-Fixtures!F$5:F$76))+SUMPRODUCT((Fixtures!G$5:G$76=I86)*(Fixtures!E$5:E$76&lt;&gt;"")*(Fixtures!F$5:F$76&lt;&gt;"")*(Fixtures!F$5:F$76-Fixtures!E$5:E$76)))</f>
        <v/>
      </c>
      <c r="N86">
        <f>IF(H86="","",COUNTIFS($J$5:$J$104,"&gt;"&amp;J86,$H$5:$H$104,"&lt;&gt;")+COUNTIFS($J$5:$J86,J86,$H$5:$H86,"&lt;&gt;"))</f>
        <v/>
      </c>
    </row>
    <row r="87">
      <c r="A87" s="43" t="n">
        <v>83</v>
      </c>
      <c r="B87" s="44">
        <f>IFERROR(INDEX($H$5:$H$104,MATCH(83,$N$5:$N$104,0)),"")</f>
        <v/>
      </c>
      <c r="C87" s="44">
        <f>IFERROR(INDEX($I$5:$I$104,MATCH(83,$N$5:$N$104,0)),"")</f>
        <v/>
      </c>
      <c r="D87" s="43">
        <f>IFERROR(INDEX($J$5:$J$104,MATCH(83,$N$5:$N$104,0)),"")</f>
        <v/>
      </c>
      <c r="E87" s="43">
        <f>IFERROR(INDEX($K$5:$K$104,MATCH(83,$N$5:$N$104,0)),"")</f>
        <v/>
      </c>
      <c r="F87" s="43">
        <f>IFERROR(INDEX($L$5:$L$104,MATCH(83,$N$5:$N$104,0)),"")</f>
        <v/>
      </c>
      <c r="H87">
        <f>IF(Allocation!B88="","",Allocation!B88)</f>
        <v/>
      </c>
      <c r="I87">
        <f>IF(Allocation!C88="","",Allocation!C88)</f>
        <v/>
      </c>
      <c r="J87">
        <f>IF(I87="","",SUMPRODUCT((Fixtures!D$5:D$76=I87)*(Fixtures!E$5:E$76&lt;&gt;"")*(Fixtures!F$5:F$76&lt;&gt;"")*((Fixtures!E$5:E$76&gt;Fixtures!F$5:F$76)*3+(Fixtures!E$5:E$76=Fixtures!F$5:F$76)*2))+SUMPRODUCT((Fixtures!G$5:G$76=I87)*(Fixtures!E$5:E$76&lt;&gt;"")*(Fixtures!F$5:F$76&lt;&gt;"")*((Fixtures!F$5:F$76&gt;Fixtures!E$5:E$76)*3+(Fixtures!E$5:E$76=Fixtures!F$5:F$76)*2)))</f>
        <v/>
      </c>
      <c r="K87">
        <f>IF(I87="","",COUNTIFS(Fixtures!D$5:D$76,I87,Fixtures!J$5:J$76,"W")+COUNTIFS(Fixtures!G$5:G$76,I87,Fixtures!K$5:K$76,"W"))</f>
        <v/>
      </c>
      <c r="L87">
        <f>IF(I87="","",COUNTIFS(Fixtures!D$5:D$76,I87,Fixtures!J$5:J$76,"D")+COUNTIFS(Fixtures!G$5:G$76,I87,Fixtures!K$5:K$76,"D"))</f>
        <v/>
      </c>
      <c r="M87">
        <f>IF(I87="","",SUMPRODUCT((Fixtures!D$5:D$76=I87)*(Fixtures!E$5:E$76&lt;&gt;"")*(Fixtures!F$5:F$76&lt;&gt;"")*(Fixtures!E$5:E$76-Fixtures!F$5:F$76))+SUMPRODUCT((Fixtures!G$5:G$76=I87)*(Fixtures!E$5:E$76&lt;&gt;"")*(Fixtures!F$5:F$76&lt;&gt;"")*(Fixtures!F$5:F$76-Fixtures!E$5:E$76)))</f>
        <v/>
      </c>
      <c r="N87">
        <f>IF(H87="","",COUNTIFS($J$5:$J$104,"&gt;"&amp;J87,$H$5:$H$104,"&lt;&gt;")+COUNTIFS($J$5:$J87,J87,$H$5:$H87,"&lt;&gt;"))</f>
        <v/>
      </c>
    </row>
    <row r="88">
      <c r="A88" s="43" t="n">
        <v>84</v>
      </c>
      <c r="B88" s="44">
        <f>IFERROR(INDEX($H$5:$H$104,MATCH(84,$N$5:$N$104,0)),"")</f>
        <v/>
      </c>
      <c r="C88" s="44">
        <f>IFERROR(INDEX($I$5:$I$104,MATCH(84,$N$5:$N$104,0)),"")</f>
        <v/>
      </c>
      <c r="D88" s="43">
        <f>IFERROR(INDEX($J$5:$J$104,MATCH(84,$N$5:$N$104,0)),"")</f>
        <v/>
      </c>
      <c r="E88" s="43">
        <f>IFERROR(INDEX($K$5:$K$104,MATCH(84,$N$5:$N$104,0)),"")</f>
        <v/>
      </c>
      <c r="F88" s="43">
        <f>IFERROR(INDEX($L$5:$L$104,MATCH(84,$N$5:$N$104,0)),"")</f>
        <v/>
      </c>
      <c r="H88">
        <f>IF(Allocation!B89="","",Allocation!B89)</f>
        <v/>
      </c>
      <c r="I88">
        <f>IF(Allocation!C89="","",Allocation!C89)</f>
        <v/>
      </c>
      <c r="J88">
        <f>IF(I88="","",SUMPRODUCT((Fixtures!D$5:D$76=I88)*(Fixtures!E$5:E$76&lt;&gt;"")*(Fixtures!F$5:F$76&lt;&gt;"")*((Fixtures!E$5:E$76&gt;Fixtures!F$5:F$76)*3+(Fixtures!E$5:E$76=Fixtures!F$5:F$76)*2))+SUMPRODUCT((Fixtures!G$5:G$76=I88)*(Fixtures!E$5:E$76&lt;&gt;"")*(Fixtures!F$5:F$76&lt;&gt;"")*((Fixtures!F$5:F$76&gt;Fixtures!E$5:E$76)*3+(Fixtures!E$5:E$76=Fixtures!F$5:F$76)*2)))</f>
        <v/>
      </c>
      <c r="K88">
        <f>IF(I88="","",COUNTIFS(Fixtures!D$5:D$76,I88,Fixtures!J$5:J$76,"W")+COUNTIFS(Fixtures!G$5:G$76,I88,Fixtures!K$5:K$76,"W"))</f>
        <v/>
      </c>
      <c r="L88">
        <f>IF(I88="","",COUNTIFS(Fixtures!D$5:D$76,I88,Fixtures!J$5:J$76,"D")+COUNTIFS(Fixtures!G$5:G$76,I88,Fixtures!K$5:K$76,"D"))</f>
        <v/>
      </c>
      <c r="M88">
        <f>IF(I88="","",SUMPRODUCT((Fixtures!D$5:D$76=I88)*(Fixtures!E$5:E$76&lt;&gt;"")*(Fixtures!F$5:F$76&lt;&gt;"")*(Fixtures!E$5:E$76-Fixtures!F$5:F$76))+SUMPRODUCT((Fixtures!G$5:G$76=I88)*(Fixtures!E$5:E$76&lt;&gt;"")*(Fixtures!F$5:F$76&lt;&gt;"")*(Fixtures!F$5:F$76-Fixtures!E$5:E$76)))</f>
        <v/>
      </c>
      <c r="N88">
        <f>IF(H88="","",COUNTIFS($J$5:$J$104,"&gt;"&amp;J88,$H$5:$H$104,"&lt;&gt;")+COUNTIFS($J$5:$J88,J88,$H$5:$H88,"&lt;&gt;"))</f>
        <v/>
      </c>
    </row>
    <row r="89">
      <c r="A89" s="43" t="n">
        <v>85</v>
      </c>
      <c r="B89" s="44">
        <f>IFERROR(INDEX($H$5:$H$104,MATCH(85,$N$5:$N$104,0)),"")</f>
        <v/>
      </c>
      <c r="C89" s="44">
        <f>IFERROR(INDEX($I$5:$I$104,MATCH(85,$N$5:$N$104,0)),"")</f>
        <v/>
      </c>
      <c r="D89" s="43">
        <f>IFERROR(INDEX($J$5:$J$104,MATCH(85,$N$5:$N$104,0)),"")</f>
        <v/>
      </c>
      <c r="E89" s="43">
        <f>IFERROR(INDEX($K$5:$K$104,MATCH(85,$N$5:$N$104,0)),"")</f>
        <v/>
      </c>
      <c r="F89" s="43">
        <f>IFERROR(INDEX($L$5:$L$104,MATCH(85,$N$5:$N$104,0)),"")</f>
        <v/>
      </c>
      <c r="H89">
        <f>IF(Allocation!B90="","",Allocation!B90)</f>
        <v/>
      </c>
      <c r="I89">
        <f>IF(Allocation!C90="","",Allocation!C90)</f>
        <v/>
      </c>
      <c r="J89">
        <f>IF(I89="","",SUMPRODUCT((Fixtures!D$5:D$76=I89)*(Fixtures!E$5:E$76&lt;&gt;"")*(Fixtures!F$5:F$76&lt;&gt;"")*((Fixtures!E$5:E$76&gt;Fixtures!F$5:F$76)*3+(Fixtures!E$5:E$76=Fixtures!F$5:F$76)*2))+SUMPRODUCT((Fixtures!G$5:G$76=I89)*(Fixtures!E$5:E$76&lt;&gt;"")*(Fixtures!F$5:F$76&lt;&gt;"")*((Fixtures!F$5:F$76&gt;Fixtures!E$5:E$76)*3+(Fixtures!E$5:E$76=Fixtures!F$5:F$76)*2)))</f>
        <v/>
      </c>
      <c r="K89">
        <f>IF(I89="","",COUNTIFS(Fixtures!D$5:D$76,I89,Fixtures!J$5:J$76,"W")+COUNTIFS(Fixtures!G$5:G$76,I89,Fixtures!K$5:K$76,"W"))</f>
        <v/>
      </c>
      <c r="L89">
        <f>IF(I89="","",COUNTIFS(Fixtures!D$5:D$76,I89,Fixtures!J$5:J$76,"D")+COUNTIFS(Fixtures!G$5:G$76,I89,Fixtures!K$5:K$76,"D"))</f>
        <v/>
      </c>
      <c r="M89">
        <f>IF(I89="","",SUMPRODUCT((Fixtures!D$5:D$76=I89)*(Fixtures!E$5:E$76&lt;&gt;"")*(Fixtures!F$5:F$76&lt;&gt;"")*(Fixtures!E$5:E$76-Fixtures!F$5:F$76))+SUMPRODUCT((Fixtures!G$5:G$76=I89)*(Fixtures!E$5:E$76&lt;&gt;"")*(Fixtures!F$5:F$76&lt;&gt;"")*(Fixtures!F$5:F$76-Fixtures!E$5:E$76)))</f>
        <v/>
      </c>
      <c r="N89">
        <f>IF(H89="","",COUNTIFS($J$5:$J$104,"&gt;"&amp;J89,$H$5:$H$104,"&lt;&gt;")+COUNTIFS($J$5:$J89,J89,$H$5:$H89,"&lt;&gt;"))</f>
        <v/>
      </c>
    </row>
    <row r="90">
      <c r="A90" s="43" t="n">
        <v>86</v>
      </c>
      <c r="B90" s="44">
        <f>IFERROR(INDEX($H$5:$H$104,MATCH(86,$N$5:$N$104,0)),"")</f>
        <v/>
      </c>
      <c r="C90" s="44">
        <f>IFERROR(INDEX($I$5:$I$104,MATCH(86,$N$5:$N$104,0)),"")</f>
        <v/>
      </c>
      <c r="D90" s="43">
        <f>IFERROR(INDEX($J$5:$J$104,MATCH(86,$N$5:$N$104,0)),"")</f>
        <v/>
      </c>
      <c r="E90" s="43">
        <f>IFERROR(INDEX($K$5:$K$104,MATCH(86,$N$5:$N$104,0)),"")</f>
        <v/>
      </c>
      <c r="F90" s="43">
        <f>IFERROR(INDEX($L$5:$L$104,MATCH(86,$N$5:$N$104,0)),"")</f>
        <v/>
      </c>
      <c r="H90">
        <f>IF(Allocation!B91="","",Allocation!B91)</f>
        <v/>
      </c>
      <c r="I90">
        <f>IF(Allocation!C91="","",Allocation!C91)</f>
        <v/>
      </c>
      <c r="J90">
        <f>IF(I90="","",SUMPRODUCT((Fixtures!D$5:D$76=I90)*(Fixtures!E$5:E$76&lt;&gt;"")*(Fixtures!F$5:F$76&lt;&gt;"")*((Fixtures!E$5:E$76&gt;Fixtures!F$5:F$76)*3+(Fixtures!E$5:E$76=Fixtures!F$5:F$76)*2))+SUMPRODUCT((Fixtures!G$5:G$76=I90)*(Fixtures!E$5:E$76&lt;&gt;"")*(Fixtures!F$5:F$76&lt;&gt;"")*((Fixtures!F$5:F$76&gt;Fixtures!E$5:E$76)*3+(Fixtures!E$5:E$76=Fixtures!F$5:F$76)*2)))</f>
        <v/>
      </c>
      <c r="K90">
        <f>IF(I90="","",COUNTIFS(Fixtures!D$5:D$76,I90,Fixtures!J$5:J$76,"W")+COUNTIFS(Fixtures!G$5:G$76,I90,Fixtures!K$5:K$76,"W"))</f>
        <v/>
      </c>
      <c r="L90">
        <f>IF(I90="","",COUNTIFS(Fixtures!D$5:D$76,I90,Fixtures!J$5:J$76,"D")+COUNTIFS(Fixtures!G$5:G$76,I90,Fixtures!K$5:K$76,"D"))</f>
        <v/>
      </c>
      <c r="M90">
        <f>IF(I90="","",SUMPRODUCT((Fixtures!D$5:D$76=I90)*(Fixtures!E$5:E$76&lt;&gt;"")*(Fixtures!F$5:F$76&lt;&gt;"")*(Fixtures!E$5:E$76-Fixtures!F$5:F$76))+SUMPRODUCT((Fixtures!G$5:G$76=I90)*(Fixtures!E$5:E$76&lt;&gt;"")*(Fixtures!F$5:F$76&lt;&gt;"")*(Fixtures!F$5:F$76-Fixtures!E$5:E$76)))</f>
        <v/>
      </c>
      <c r="N90">
        <f>IF(H90="","",COUNTIFS($J$5:$J$104,"&gt;"&amp;J90,$H$5:$H$104,"&lt;&gt;")+COUNTIFS($J$5:$J90,J90,$H$5:$H90,"&lt;&gt;"))</f>
        <v/>
      </c>
    </row>
    <row r="91">
      <c r="A91" s="43" t="n">
        <v>87</v>
      </c>
      <c r="B91" s="44">
        <f>IFERROR(INDEX($H$5:$H$104,MATCH(87,$N$5:$N$104,0)),"")</f>
        <v/>
      </c>
      <c r="C91" s="44">
        <f>IFERROR(INDEX($I$5:$I$104,MATCH(87,$N$5:$N$104,0)),"")</f>
        <v/>
      </c>
      <c r="D91" s="43">
        <f>IFERROR(INDEX($J$5:$J$104,MATCH(87,$N$5:$N$104,0)),"")</f>
        <v/>
      </c>
      <c r="E91" s="43">
        <f>IFERROR(INDEX($K$5:$K$104,MATCH(87,$N$5:$N$104,0)),"")</f>
        <v/>
      </c>
      <c r="F91" s="43">
        <f>IFERROR(INDEX($L$5:$L$104,MATCH(87,$N$5:$N$104,0)),"")</f>
        <v/>
      </c>
      <c r="H91">
        <f>IF(Allocation!B92="","",Allocation!B92)</f>
        <v/>
      </c>
      <c r="I91">
        <f>IF(Allocation!C92="","",Allocation!C92)</f>
        <v/>
      </c>
      <c r="J91">
        <f>IF(I91="","",SUMPRODUCT((Fixtures!D$5:D$76=I91)*(Fixtures!E$5:E$76&lt;&gt;"")*(Fixtures!F$5:F$76&lt;&gt;"")*((Fixtures!E$5:E$76&gt;Fixtures!F$5:F$76)*3+(Fixtures!E$5:E$76=Fixtures!F$5:F$76)*2))+SUMPRODUCT((Fixtures!G$5:G$76=I91)*(Fixtures!E$5:E$76&lt;&gt;"")*(Fixtures!F$5:F$76&lt;&gt;"")*((Fixtures!F$5:F$76&gt;Fixtures!E$5:E$76)*3+(Fixtures!E$5:E$76=Fixtures!F$5:F$76)*2)))</f>
        <v/>
      </c>
      <c r="K91">
        <f>IF(I91="","",COUNTIFS(Fixtures!D$5:D$76,I91,Fixtures!J$5:J$76,"W")+COUNTIFS(Fixtures!G$5:G$76,I91,Fixtures!K$5:K$76,"W"))</f>
        <v/>
      </c>
      <c r="L91">
        <f>IF(I91="","",COUNTIFS(Fixtures!D$5:D$76,I91,Fixtures!J$5:J$76,"D")+COUNTIFS(Fixtures!G$5:G$76,I91,Fixtures!K$5:K$76,"D"))</f>
        <v/>
      </c>
      <c r="M91">
        <f>IF(I91="","",SUMPRODUCT((Fixtures!D$5:D$76=I91)*(Fixtures!E$5:E$76&lt;&gt;"")*(Fixtures!F$5:F$76&lt;&gt;"")*(Fixtures!E$5:E$76-Fixtures!F$5:F$76))+SUMPRODUCT((Fixtures!G$5:G$76=I91)*(Fixtures!E$5:E$76&lt;&gt;"")*(Fixtures!F$5:F$76&lt;&gt;"")*(Fixtures!F$5:F$76-Fixtures!E$5:E$76)))</f>
        <v/>
      </c>
      <c r="N91">
        <f>IF(H91="","",COUNTIFS($J$5:$J$104,"&gt;"&amp;J91,$H$5:$H$104,"&lt;&gt;")+COUNTIFS($J$5:$J91,J91,$H$5:$H91,"&lt;&gt;"))</f>
        <v/>
      </c>
    </row>
    <row r="92">
      <c r="A92" s="43" t="n">
        <v>88</v>
      </c>
      <c r="B92" s="44">
        <f>IFERROR(INDEX($H$5:$H$104,MATCH(88,$N$5:$N$104,0)),"")</f>
        <v/>
      </c>
      <c r="C92" s="44">
        <f>IFERROR(INDEX($I$5:$I$104,MATCH(88,$N$5:$N$104,0)),"")</f>
        <v/>
      </c>
      <c r="D92" s="43">
        <f>IFERROR(INDEX($J$5:$J$104,MATCH(88,$N$5:$N$104,0)),"")</f>
        <v/>
      </c>
      <c r="E92" s="43">
        <f>IFERROR(INDEX($K$5:$K$104,MATCH(88,$N$5:$N$104,0)),"")</f>
        <v/>
      </c>
      <c r="F92" s="43">
        <f>IFERROR(INDEX($L$5:$L$104,MATCH(88,$N$5:$N$104,0)),"")</f>
        <v/>
      </c>
      <c r="H92">
        <f>IF(Allocation!B93="","",Allocation!B93)</f>
        <v/>
      </c>
      <c r="I92">
        <f>IF(Allocation!C93="","",Allocation!C93)</f>
        <v/>
      </c>
      <c r="J92">
        <f>IF(I92="","",SUMPRODUCT((Fixtures!D$5:D$76=I92)*(Fixtures!E$5:E$76&lt;&gt;"")*(Fixtures!F$5:F$76&lt;&gt;"")*((Fixtures!E$5:E$76&gt;Fixtures!F$5:F$76)*3+(Fixtures!E$5:E$76=Fixtures!F$5:F$76)*2))+SUMPRODUCT((Fixtures!G$5:G$76=I92)*(Fixtures!E$5:E$76&lt;&gt;"")*(Fixtures!F$5:F$76&lt;&gt;"")*((Fixtures!F$5:F$76&gt;Fixtures!E$5:E$76)*3+(Fixtures!E$5:E$76=Fixtures!F$5:F$76)*2)))</f>
        <v/>
      </c>
      <c r="K92">
        <f>IF(I92="","",COUNTIFS(Fixtures!D$5:D$76,I92,Fixtures!J$5:J$76,"W")+COUNTIFS(Fixtures!G$5:G$76,I92,Fixtures!K$5:K$76,"W"))</f>
        <v/>
      </c>
      <c r="L92">
        <f>IF(I92="","",COUNTIFS(Fixtures!D$5:D$76,I92,Fixtures!J$5:J$76,"D")+COUNTIFS(Fixtures!G$5:G$76,I92,Fixtures!K$5:K$76,"D"))</f>
        <v/>
      </c>
      <c r="M92">
        <f>IF(I92="","",SUMPRODUCT((Fixtures!D$5:D$76=I92)*(Fixtures!E$5:E$76&lt;&gt;"")*(Fixtures!F$5:F$76&lt;&gt;"")*(Fixtures!E$5:E$76-Fixtures!F$5:F$76))+SUMPRODUCT((Fixtures!G$5:G$76=I92)*(Fixtures!E$5:E$76&lt;&gt;"")*(Fixtures!F$5:F$76&lt;&gt;"")*(Fixtures!F$5:F$76-Fixtures!E$5:E$76)))</f>
        <v/>
      </c>
      <c r="N92">
        <f>IF(H92="","",COUNTIFS($J$5:$J$104,"&gt;"&amp;J92,$H$5:$H$104,"&lt;&gt;")+COUNTIFS($J$5:$J92,J92,$H$5:$H92,"&lt;&gt;"))</f>
        <v/>
      </c>
    </row>
    <row r="93">
      <c r="A93" s="43" t="n">
        <v>89</v>
      </c>
      <c r="B93" s="44">
        <f>IFERROR(INDEX($H$5:$H$104,MATCH(89,$N$5:$N$104,0)),"")</f>
        <v/>
      </c>
      <c r="C93" s="44">
        <f>IFERROR(INDEX($I$5:$I$104,MATCH(89,$N$5:$N$104,0)),"")</f>
        <v/>
      </c>
      <c r="D93" s="43">
        <f>IFERROR(INDEX($J$5:$J$104,MATCH(89,$N$5:$N$104,0)),"")</f>
        <v/>
      </c>
      <c r="E93" s="43">
        <f>IFERROR(INDEX($K$5:$K$104,MATCH(89,$N$5:$N$104,0)),"")</f>
        <v/>
      </c>
      <c r="F93" s="43">
        <f>IFERROR(INDEX($L$5:$L$104,MATCH(89,$N$5:$N$104,0)),"")</f>
        <v/>
      </c>
      <c r="H93">
        <f>IF(Allocation!B94="","",Allocation!B94)</f>
        <v/>
      </c>
      <c r="I93">
        <f>IF(Allocation!C94="","",Allocation!C94)</f>
        <v/>
      </c>
      <c r="J93">
        <f>IF(I93="","",SUMPRODUCT((Fixtures!D$5:D$76=I93)*(Fixtures!E$5:E$76&lt;&gt;"")*(Fixtures!F$5:F$76&lt;&gt;"")*((Fixtures!E$5:E$76&gt;Fixtures!F$5:F$76)*3+(Fixtures!E$5:E$76=Fixtures!F$5:F$76)*2))+SUMPRODUCT((Fixtures!G$5:G$76=I93)*(Fixtures!E$5:E$76&lt;&gt;"")*(Fixtures!F$5:F$76&lt;&gt;"")*((Fixtures!F$5:F$76&gt;Fixtures!E$5:E$76)*3+(Fixtures!E$5:E$76=Fixtures!F$5:F$76)*2)))</f>
        <v/>
      </c>
      <c r="K93">
        <f>IF(I93="","",COUNTIFS(Fixtures!D$5:D$76,I93,Fixtures!J$5:J$76,"W")+COUNTIFS(Fixtures!G$5:G$76,I93,Fixtures!K$5:K$76,"W"))</f>
        <v/>
      </c>
      <c r="L93">
        <f>IF(I93="","",COUNTIFS(Fixtures!D$5:D$76,I93,Fixtures!J$5:J$76,"D")+COUNTIFS(Fixtures!G$5:G$76,I93,Fixtures!K$5:K$76,"D"))</f>
        <v/>
      </c>
      <c r="M93">
        <f>IF(I93="","",SUMPRODUCT((Fixtures!D$5:D$76=I93)*(Fixtures!E$5:E$76&lt;&gt;"")*(Fixtures!F$5:F$76&lt;&gt;"")*(Fixtures!E$5:E$76-Fixtures!F$5:F$76))+SUMPRODUCT((Fixtures!G$5:G$76=I93)*(Fixtures!E$5:E$76&lt;&gt;"")*(Fixtures!F$5:F$76&lt;&gt;"")*(Fixtures!F$5:F$76-Fixtures!E$5:E$76)))</f>
        <v/>
      </c>
      <c r="N93">
        <f>IF(H93="","",COUNTIFS($J$5:$J$104,"&gt;"&amp;J93,$H$5:$H$104,"&lt;&gt;")+COUNTIFS($J$5:$J93,J93,$H$5:$H93,"&lt;&gt;"))</f>
        <v/>
      </c>
    </row>
    <row r="94">
      <c r="A94" s="43" t="n">
        <v>90</v>
      </c>
      <c r="B94" s="44">
        <f>IFERROR(INDEX($H$5:$H$104,MATCH(90,$N$5:$N$104,0)),"")</f>
        <v/>
      </c>
      <c r="C94" s="44">
        <f>IFERROR(INDEX($I$5:$I$104,MATCH(90,$N$5:$N$104,0)),"")</f>
        <v/>
      </c>
      <c r="D94" s="43">
        <f>IFERROR(INDEX($J$5:$J$104,MATCH(90,$N$5:$N$104,0)),"")</f>
        <v/>
      </c>
      <c r="E94" s="43">
        <f>IFERROR(INDEX($K$5:$K$104,MATCH(90,$N$5:$N$104,0)),"")</f>
        <v/>
      </c>
      <c r="F94" s="43">
        <f>IFERROR(INDEX($L$5:$L$104,MATCH(90,$N$5:$N$104,0)),"")</f>
        <v/>
      </c>
      <c r="H94">
        <f>IF(Allocation!B95="","",Allocation!B95)</f>
        <v/>
      </c>
      <c r="I94">
        <f>IF(Allocation!C95="","",Allocation!C95)</f>
        <v/>
      </c>
      <c r="J94">
        <f>IF(I94="","",SUMPRODUCT((Fixtures!D$5:D$76=I94)*(Fixtures!E$5:E$76&lt;&gt;"")*(Fixtures!F$5:F$76&lt;&gt;"")*((Fixtures!E$5:E$76&gt;Fixtures!F$5:F$76)*3+(Fixtures!E$5:E$76=Fixtures!F$5:F$76)*2))+SUMPRODUCT((Fixtures!G$5:G$76=I94)*(Fixtures!E$5:E$76&lt;&gt;"")*(Fixtures!F$5:F$76&lt;&gt;"")*((Fixtures!F$5:F$76&gt;Fixtures!E$5:E$76)*3+(Fixtures!E$5:E$76=Fixtures!F$5:F$76)*2)))</f>
        <v/>
      </c>
      <c r="K94">
        <f>IF(I94="","",COUNTIFS(Fixtures!D$5:D$76,I94,Fixtures!J$5:J$76,"W")+COUNTIFS(Fixtures!G$5:G$76,I94,Fixtures!K$5:K$76,"W"))</f>
        <v/>
      </c>
      <c r="L94">
        <f>IF(I94="","",COUNTIFS(Fixtures!D$5:D$76,I94,Fixtures!J$5:J$76,"D")+COUNTIFS(Fixtures!G$5:G$76,I94,Fixtures!K$5:K$76,"D"))</f>
        <v/>
      </c>
      <c r="M94">
        <f>IF(I94="","",SUMPRODUCT((Fixtures!D$5:D$76=I94)*(Fixtures!E$5:E$76&lt;&gt;"")*(Fixtures!F$5:F$76&lt;&gt;"")*(Fixtures!E$5:E$76-Fixtures!F$5:F$76))+SUMPRODUCT((Fixtures!G$5:G$76=I94)*(Fixtures!E$5:E$76&lt;&gt;"")*(Fixtures!F$5:F$76&lt;&gt;"")*(Fixtures!F$5:F$76-Fixtures!E$5:E$76)))</f>
        <v/>
      </c>
      <c r="N94">
        <f>IF(H94="","",COUNTIFS($J$5:$J$104,"&gt;"&amp;J94,$H$5:$H$104,"&lt;&gt;")+COUNTIFS($J$5:$J94,J94,$H$5:$H94,"&lt;&gt;"))</f>
        <v/>
      </c>
    </row>
    <row r="95">
      <c r="A95" s="43" t="n">
        <v>91</v>
      </c>
      <c r="B95" s="44">
        <f>IFERROR(INDEX($H$5:$H$104,MATCH(91,$N$5:$N$104,0)),"")</f>
        <v/>
      </c>
      <c r="C95" s="44">
        <f>IFERROR(INDEX($I$5:$I$104,MATCH(91,$N$5:$N$104,0)),"")</f>
        <v/>
      </c>
      <c r="D95" s="43">
        <f>IFERROR(INDEX($J$5:$J$104,MATCH(91,$N$5:$N$104,0)),"")</f>
        <v/>
      </c>
      <c r="E95" s="43">
        <f>IFERROR(INDEX($K$5:$K$104,MATCH(91,$N$5:$N$104,0)),"")</f>
        <v/>
      </c>
      <c r="F95" s="43">
        <f>IFERROR(INDEX($L$5:$L$104,MATCH(91,$N$5:$N$104,0)),"")</f>
        <v/>
      </c>
      <c r="H95">
        <f>IF(Allocation!B96="","",Allocation!B96)</f>
        <v/>
      </c>
      <c r="I95">
        <f>IF(Allocation!C96="","",Allocation!C96)</f>
        <v/>
      </c>
      <c r="J95">
        <f>IF(I95="","",SUMPRODUCT((Fixtures!D$5:D$76=I95)*(Fixtures!E$5:E$76&lt;&gt;"")*(Fixtures!F$5:F$76&lt;&gt;"")*((Fixtures!E$5:E$76&gt;Fixtures!F$5:F$76)*3+(Fixtures!E$5:E$76=Fixtures!F$5:F$76)*2))+SUMPRODUCT((Fixtures!G$5:G$76=I95)*(Fixtures!E$5:E$76&lt;&gt;"")*(Fixtures!F$5:F$76&lt;&gt;"")*((Fixtures!F$5:F$76&gt;Fixtures!E$5:E$76)*3+(Fixtures!E$5:E$76=Fixtures!F$5:F$76)*2)))</f>
        <v/>
      </c>
      <c r="K95">
        <f>IF(I95="","",COUNTIFS(Fixtures!D$5:D$76,I95,Fixtures!J$5:J$76,"W")+COUNTIFS(Fixtures!G$5:G$76,I95,Fixtures!K$5:K$76,"W"))</f>
        <v/>
      </c>
      <c r="L95">
        <f>IF(I95="","",COUNTIFS(Fixtures!D$5:D$76,I95,Fixtures!J$5:J$76,"D")+COUNTIFS(Fixtures!G$5:G$76,I95,Fixtures!K$5:K$76,"D"))</f>
        <v/>
      </c>
      <c r="M95">
        <f>IF(I95="","",SUMPRODUCT((Fixtures!D$5:D$76=I95)*(Fixtures!E$5:E$76&lt;&gt;"")*(Fixtures!F$5:F$76&lt;&gt;"")*(Fixtures!E$5:E$76-Fixtures!F$5:F$76))+SUMPRODUCT((Fixtures!G$5:G$76=I95)*(Fixtures!E$5:E$76&lt;&gt;"")*(Fixtures!F$5:F$76&lt;&gt;"")*(Fixtures!F$5:F$76-Fixtures!E$5:E$76)))</f>
        <v/>
      </c>
      <c r="N95">
        <f>IF(H95="","",COUNTIFS($J$5:$J$104,"&gt;"&amp;J95,$H$5:$H$104,"&lt;&gt;")+COUNTIFS($J$5:$J95,J95,$H$5:$H95,"&lt;&gt;"))</f>
        <v/>
      </c>
    </row>
    <row r="96">
      <c r="A96" s="43" t="n">
        <v>92</v>
      </c>
      <c r="B96" s="44">
        <f>IFERROR(INDEX($H$5:$H$104,MATCH(92,$N$5:$N$104,0)),"")</f>
        <v/>
      </c>
      <c r="C96" s="44">
        <f>IFERROR(INDEX($I$5:$I$104,MATCH(92,$N$5:$N$104,0)),"")</f>
        <v/>
      </c>
      <c r="D96" s="43">
        <f>IFERROR(INDEX($J$5:$J$104,MATCH(92,$N$5:$N$104,0)),"")</f>
        <v/>
      </c>
      <c r="E96" s="43">
        <f>IFERROR(INDEX($K$5:$K$104,MATCH(92,$N$5:$N$104,0)),"")</f>
        <v/>
      </c>
      <c r="F96" s="43">
        <f>IFERROR(INDEX($L$5:$L$104,MATCH(92,$N$5:$N$104,0)),"")</f>
        <v/>
      </c>
      <c r="H96">
        <f>IF(Allocation!B97="","",Allocation!B97)</f>
        <v/>
      </c>
      <c r="I96">
        <f>IF(Allocation!C97="","",Allocation!C97)</f>
        <v/>
      </c>
      <c r="J96">
        <f>IF(I96="","",SUMPRODUCT((Fixtures!D$5:D$76=I96)*(Fixtures!E$5:E$76&lt;&gt;"")*(Fixtures!F$5:F$76&lt;&gt;"")*((Fixtures!E$5:E$76&gt;Fixtures!F$5:F$76)*3+(Fixtures!E$5:E$76=Fixtures!F$5:F$76)*2))+SUMPRODUCT((Fixtures!G$5:G$76=I96)*(Fixtures!E$5:E$76&lt;&gt;"")*(Fixtures!F$5:F$76&lt;&gt;"")*((Fixtures!F$5:F$76&gt;Fixtures!E$5:E$76)*3+(Fixtures!E$5:E$76=Fixtures!F$5:F$76)*2)))</f>
        <v/>
      </c>
      <c r="K96">
        <f>IF(I96="","",COUNTIFS(Fixtures!D$5:D$76,I96,Fixtures!J$5:J$76,"W")+COUNTIFS(Fixtures!G$5:G$76,I96,Fixtures!K$5:K$76,"W"))</f>
        <v/>
      </c>
      <c r="L96">
        <f>IF(I96="","",COUNTIFS(Fixtures!D$5:D$76,I96,Fixtures!J$5:J$76,"D")+COUNTIFS(Fixtures!G$5:G$76,I96,Fixtures!K$5:K$76,"D"))</f>
        <v/>
      </c>
      <c r="M96">
        <f>IF(I96="","",SUMPRODUCT((Fixtures!D$5:D$76=I96)*(Fixtures!E$5:E$76&lt;&gt;"")*(Fixtures!F$5:F$76&lt;&gt;"")*(Fixtures!E$5:E$76-Fixtures!F$5:F$76))+SUMPRODUCT((Fixtures!G$5:G$76=I96)*(Fixtures!E$5:E$76&lt;&gt;"")*(Fixtures!F$5:F$76&lt;&gt;"")*(Fixtures!F$5:F$76-Fixtures!E$5:E$76)))</f>
        <v/>
      </c>
      <c r="N96">
        <f>IF(H96="","",COUNTIFS($J$5:$J$104,"&gt;"&amp;J96,$H$5:$H$104,"&lt;&gt;")+COUNTIFS($J$5:$J96,J96,$H$5:$H96,"&lt;&gt;"))</f>
        <v/>
      </c>
    </row>
    <row r="97">
      <c r="A97" s="43" t="n">
        <v>93</v>
      </c>
      <c r="B97" s="44">
        <f>IFERROR(INDEX($H$5:$H$104,MATCH(93,$N$5:$N$104,0)),"")</f>
        <v/>
      </c>
      <c r="C97" s="44">
        <f>IFERROR(INDEX($I$5:$I$104,MATCH(93,$N$5:$N$104,0)),"")</f>
        <v/>
      </c>
      <c r="D97" s="43">
        <f>IFERROR(INDEX($J$5:$J$104,MATCH(93,$N$5:$N$104,0)),"")</f>
        <v/>
      </c>
      <c r="E97" s="43">
        <f>IFERROR(INDEX($K$5:$K$104,MATCH(93,$N$5:$N$104,0)),"")</f>
        <v/>
      </c>
      <c r="F97" s="43">
        <f>IFERROR(INDEX($L$5:$L$104,MATCH(93,$N$5:$N$104,0)),"")</f>
        <v/>
      </c>
      <c r="H97">
        <f>IF(Allocation!B98="","",Allocation!B98)</f>
        <v/>
      </c>
      <c r="I97">
        <f>IF(Allocation!C98="","",Allocation!C98)</f>
        <v/>
      </c>
      <c r="J97">
        <f>IF(I97="","",SUMPRODUCT((Fixtures!D$5:D$76=I97)*(Fixtures!E$5:E$76&lt;&gt;"")*(Fixtures!F$5:F$76&lt;&gt;"")*((Fixtures!E$5:E$76&gt;Fixtures!F$5:F$76)*3+(Fixtures!E$5:E$76=Fixtures!F$5:F$76)*2))+SUMPRODUCT((Fixtures!G$5:G$76=I97)*(Fixtures!E$5:E$76&lt;&gt;"")*(Fixtures!F$5:F$76&lt;&gt;"")*((Fixtures!F$5:F$76&gt;Fixtures!E$5:E$76)*3+(Fixtures!E$5:E$76=Fixtures!F$5:F$76)*2)))</f>
        <v/>
      </c>
      <c r="K97">
        <f>IF(I97="","",COUNTIFS(Fixtures!D$5:D$76,I97,Fixtures!J$5:J$76,"W")+COUNTIFS(Fixtures!G$5:G$76,I97,Fixtures!K$5:K$76,"W"))</f>
        <v/>
      </c>
      <c r="L97">
        <f>IF(I97="","",COUNTIFS(Fixtures!D$5:D$76,I97,Fixtures!J$5:J$76,"D")+COUNTIFS(Fixtures!G$5:G$76,I97,Fixtures!K$5:K$76,"D"))</f>
        <v/>
      </c>
      <c r="M97">
        <f>IF(I97="","",SUMPRODUCT((Fixtures!D$5:D$76=I97)*(Fixtures!E$5:E$76&lt;&gt;"")*(Fixtures!F$5:F$76&lt;&gt;"")*(Fixtures!E$5:E$76-Fixtures!F$5:F$76))+SUMPRODUCT((Fixtures!G$5:G$76=I97)*(Fixtures!E$5:E$76&lt;&gt;"")*(Fixtures!F$5:F$76&lt;&gt;"")*(Fixtures!F$5:F$76-Fixtures!E$5:E$76)))</f>
        <v/>
      </c>
      <c r="N97">
        <f>IF(H97="","",COUNTIFS($J$5:$J$104,"&gt;"&amp;J97,$H$5:$H$104,"&lt;&gt;")+COUNTIFS($J$5:$J97,J97,$H$5:$H97,"&lt;&gt;"))</f>
        <v/>
      </c>
    </row>
    <row r="98">
      <c r="A98" s="43" t="n">
        <v>94</v>
      </c>
      <c r="B98" s="44">
        <f>IFERROR(INDEX($H$5:$H$104,MATCH(94,$N$5:$N$104,0)),"")</f>
        <v/>
      </c>
      <c r="C98" s="44">
        <f>IFERROR(INDEX($I$5:$I$104,MATCH(94,$N$5:$N$104,0)),"")</f>
        <v/>
      </c>
      <c r="D98" s="43">
        <f>IFERROR(INDEX($J$5:$J$104,MATCH(94,$N$5:$N$104,0)),"")</f>
        <v/>
      </c>
      <c r="E98" s="43">
        <f>IFERROR(INDEX($K$5:$K$104,MATCH(94,$N$5:$N$104,0)),"")</f>
        <v/>
      </c>
      <c r="F98" s="43">
        <f>IFERROR(INDEX($L$5:$L$104,MATCH(94,$N$5:$N$104,0)),"")</f>
        <v/>
      </c>
      <c r="H98">
        <f>IF(Allocation!B99="","",Allocation!B99)</f>
        <v/>
      </c>
      <c r="I98">
        <f>IF(Allocation!C99="","",Allocation!C99)</f>
        <v/>
      </c>
      <c r="J98">
        <f>IF(I98="","",SUMPRODUCT((Fixtures!D$5:D$76=I98)*(Fixtures!E$5:E$76&lt;&gt;"")*(Fixtures!F$5:F$76&lt;&gt;"")*((Fixtures!E$5:E$76&gt;Fixtures!F$5:F$76)*3+(Fixtures!E$5:E$76=Fixtures!F$5:F$76)*2))+SUMPRODUCT((Fixtures!G$5:G$76=I98)*(Fixtures!E$5:E$76&lt;&gt;"")*(Fixtures!F$5:F$76&lt;&gt;"")*((Fixtures!F$5:F$76&gt;Fixtures!E$5:E$76)*3+(Fixtures!E$5:E$76=Fixtures!F$5:F$76)*2)))</f>
        <v/>
      </c>
      <c r="K98">
        <f>IF(I98="","",COUNTIFS(Fixtures!D$5:D$76,I98,Fixtures!J$5:J$76,"W")+COUNTIFS(Fixtures!G$5:G$76,I98,Fixtures!K$5:K$76,"W"))</f>
        <v/>
      </c>
      <c r="L98">
        <f>IF(I98="","",COUNTIFS(Fixtures!D$5:D$76,I98,Fixtures!J$5:J$76,"D")+COUNTIFS(Fixtures!G$5:G$76,I98,Fixtures!K$5:K$76,"D"))</f>
        <v/>
      </c>
      <c r="M98">
        <f>IF(I98="","",SUMPRODUCT((Fixtures!D$5:D$76=I98)*(Fixtures!E$5:E$76&lt;&gt;"")*(Fixtures!F$5:F$76&lt;&gt;"")*(Fixtures!E$5:E$76-Fixtures!F$5:F$76))+SUMPRODUCT((Fixtures!G$5:G$76=I98)*(Fixtures!E$5:E$76&lt;&gt;"")*(Fixtures!F$5:F$76&lt;&gt;"")*(Fixtures!F$5:F$76-Fixtures!E$5:E$76)))</f>
        <v/>
      </c>
      <c r="N98">
        <f>IF(H98="","",COUNTIFS($J$5:$J$104,"&gt;"&amp;J98,$H$5:$H$104,"&lt;&gt;")+COUNTIFS($J$5:$J98,J98,$H$5:$H98,"&lt;&gt;"))</f>
        <v/>
      </c>
    </row>
    <row r="99">
      <c r="A99" s="43" t="n">
        <v>95</v>
      </c>
      <c r="B99" s="44">
        <f>IFERROR(INDEX($H$5:$H$104,MATCH(95,$N$5:$N$104,0)),"")</f>
        <v/>
      </c>
      <c r="C99" s="44">
        <f>IFERROR(INDEX($I$5:$I$104,MATCH(95,$N$5:$N$104,0)),"")</f>
        <v/>
      </c>
      <c r="D99" s="43">
        <f>IFERROR(INDEX($J$5:$J$104,MATCH(95,$N$5:$N$104,0)),"")</f>
        <v/>
      </c>
      <c r="E99" s="43">
        <f>IFERROR(INDEX($K$5:$K$104,MATCH(95,$N$5:$N$104,0)),"")</f>
        <v/>
      </c>
      <c r="F99" s="43">
        <f>IFERROR(INDEX($L$5:$L$104,MATCH(95,$N$5:$N$104,0)),"")</f>
        <v/>
      </c>
      <c r="H99">
        <f>IF(Allocation!B100="","",Allocation!B100)</f>
        <v/>
      </c>
      <c r="I99">
        <f>IF(Allocation!C100="","",Allocation!C100)</f>
        <v/>
      </c>
      <c r="J99">
        <f>IF(I99="","",SUMPRODUCT((Fixtures!D$5:D$76=I99)*(Fixtures!E$5:E$76&lt;&gt;"")*(Fixtures!F$5:F$76&lt;&gt;"")*((Fixtures!E$5:E$76&gt;Fixtures!F$5:F$76)*3+(Fixtures!E$5:E$76=Fixtures!F$5:F$76)*2))+SUMPRODUCT((Fixtures!G$5:G$76=I99)*(Fixtures!E$5:E$76&lt;&gt;"")*(Fixtures!F$5:F$76&lt;&gt;"")*((Fixtures!F$5:F$76&gt;Fixtures!E$5:E$76)*3+(Fixtures!E$5:E$76=Fixtures!F$5:F$76)*2)))</f>
        <v/>
      </c>
      <c r="K99">
        <f>IF(I99="","",COUNTIFS(Fixtures!D$5:D$76,I99,Fixtures!J$5:J$76,"W")+COUNTIFS(Fixtures!G$5:G$76,I99,Fixtures!K$5:K$76,"W"))</f>
        <v/>
      </c>
      <c r="L99">
        <f>IF(I99="","",COUNTIFS(Fixtures!D$5:D$76,I99,Fixtures!J$5:J$76,"D")+COUNTIFS(Fixtures!G$5:G$76,I99,Fixtures!K$5:K$76,"D"))</f>
        <v/>
      </c>
      <c r="M99">
        <f>IF(I99="","",SUMPRODUCT((Fixtures!D$5:D$76=I99)*(Fixtures!E$5:E$76&lt;&gt;"")*(Fixtures!F$5:F$76&lt;&gt;"")*(Fixtures!E$5:E$76-Fixtures!F$5:F$76))+SUMPRODUCT((Fixtures!G$5:G$76=I99)*(Fixtures!E$5:E$76&lt;&gt;"")*(Fixtures!F$5:F$76&lt;&gt;"")*(Fixtures!F$5:F$76-Fixtures!E$5:E$76)))</f>
        <v/>
      </c>
      <c r="N99">
        <f>IF(H99="","",COUNTIFS($J$5:$J$104,"&gt;"&amp;J99,$H$5:$H$104,"&lt;&gt;")+COUNTIFS($J$5:$J99,J99,$H$5:$H99,"&lt;&gt;"))</f>
        <v/>
      </c>
    </row>
    <row r="100">
      <c r="A100" s="43" t="n">
        <v>96</v>
      </c>
      <c r="B100" s="44">
        <f>IFERROR(INDEX($H$5:$H$104,MATCH(96,$N$5:$N$104,0)),"")</f>
        <v/>
      </c>
      <c r="C100" s="44">
        <f>IFERROR(INDEX($I$5:$I$104,MATCH(96,$N$5:$N$104,0)),"")</f>
        <v/>
      </c>
      <c r="D100" s="43">
        <f>IFERROR(INDEX($J$5:$J$104,MATCH(96,$N$5:$N$104,0)),"")</f>
        <v/>
      </c>
      <c r="E100" s="43">
        <f>IFERROR(INDEX($K$5:$K$104,MATCH(96,$N$5:$N$104,0)),"")</f>
        <v/>
      </c>
      <c r="F100" s="43">
        <f>IFERROR(INDEX($L$5:$L$104,MATCH(96,$N$5:$N$104,0)),"")</f>
        <v/>
      </c>
      <c r="H100">
        <f>IF(Allocation!B101="","",Allocation!B101)</f>
        <v/>
      </c>
      <c r="I100">
        <f>IF(Allocation!C101="","",Allocation!C101)</f>
        <v/>
      </c>
      <c r="J100">
        <f>IF(I100="","",SUMPRODUCT((Fixtures!D$5:D$76=I100)*(Fixtures!E$5:E$76&lt;&gt;"")*(Fixtures!F$5:F$76&lt;&gt;"")*((Fixtures!E$5:E$76&gt;Fixtures!F$5:F$76)*3+(Fixtures!E$5:E$76=Fixtures!F$5:F$76)*2))+SUMPRODUCT((Fixtures!G$5:G$76=I100)*(Fixtures!E$5:E$76&lt;&gt;"")*(Fixtures!F$5:F$76&lt;&gt;"")*((Fixtures!F$5:F$76&gt;Fixtures!E$5:E$76)*3+(Fixtures!E$5:E$76=Fixtures!F$5:F$76)*2)))</f>
        <v/>
      </c>
      <c r="K100">
        <f>IF(I100="","",COUNTIFS(Fixtures!D$5:D$76,I100,Fixtures!J$5:J$76,"W")+COUNTIFS(Fixtures!G$5:G$76,I100,Fixtures!K$5:K$76,"W"))</f>
        <v/>
      </c>
      <c r="L100">
        <f>IF(I100="","",COUNTIFS(Fixtures!D$5:D$76,I100,Fixtures!J$5:J$76,"D")+COUNTIFS(Fixtures!G$5:G$76,I100,Fixtures!K$5:K$76,"D"))</f>
        <v/>
      </c>
      <c r="M100">
        <f>IF(I100="","",SUMPRODUCT((Fixtures!D$5:D$76=I100)*(Fixtures!E$5:E$76&lt;&gt;"")*(Fixtures!F$5:F$76&lt;&gt;"")*(Fixtures!E$5:E$76-Fixtures!F$5:F$76))+SUMPRODUCT((Fixtures!G$5:G$76=I100)*(Fixtures!E$5:E$76&lt;&gt;"")*(Fixtures!F$5:F$76&lt;&gt;"")*(Fixtures!F$5:F$76-Fixtures!E$5:E$76)))</f>
        <v/>
      </c>
      <c r="N100">
        <f>IF(H100="","",COUNTIFS($J$5:$J$104,"&gt;"&amp;J100,$H$5:$H$104,"&lt;&gt;")+COUNTIFS($J$5:$J100,J100,$H$5:$H100,"&lt;&gt;"))</f>
        <v/>
      </c>
    </row>
    <row r="101">
      <c r="A101" s="43" t="n">
        <v>97</v>
      </c>
      <c r="B101" s="44">
        <f>IFERROR(INDEX($H$5:$H$104,MATCH(97,$N$5:$N$104,0)),"")</f>
        <v/>
      </c>
      <c r="C101" s="44">
        <f>IFERROR(INDEX($I$5:$I$104,MATCH(97,$N$5:$N$104,0)),"")</f>
        <v/>
      </c>
      <c r="D101" s="43">
        <f>IFERROR(INDEX($J$5:$J$104,MATCH(97,$N$5:$N$104,0)),"")</f>
        <v/>
      </c>
      <c r="E101" s="43">
        <f>IFERROR(INDEX($K$5:$K$104,MATCH(97,$N$5:$N$104,0)),"")</f>
        <v/>
      </c>
      <c r="F101" s="43">
        <f>IFERROR(INDEX($L$5:$L$104,MATCH(97,$N$5:$N$104,0)),"")</f>
        <v/>
      </c>
      <c r="H101">
        <f>IF(Allocation!B102="","",Allocation!B102)</f>
        <v/>
      </c>
      <c r="I101">
        <f>IF(Allocation!C102="","",Allocation!C102)</f>
        <v/>
      </c>
      <c r="J101">
        <f>IF(I101="","",SUMPRODUCT((Fixtures!D$5:D$76=I101)*(Fixtures!E$5:E$76&lt;&gt;"")*(Fixtures!F$5:F$76&lt;&gt;"")*((Fixtures!E$5:E$76&gt;Fixtures!F$5:F$76)*3+(Fixtures!E$5:E$76=Fixtures!F$5:F$76)*2))+SUMPRODUCT((Fixtures!G$5:G$76=I101)*(Fixtures!E$5:E$76&lt;&gt;"")*(Fixtures!F$5:F$76&lt;&gt;"")*((Fixtures!F$5:F$76&gt;Fixtures!E$5:E$76)*3+(Fixtures!E$5:E$76=Fixtures!F$5:F$76)*2)))</f>
        <v/>
      </c>
      <c r="K101">
        <f>IF(I101="","",COUNTIFS(Fixtures!D$5:D$76,I101,Fixtures!J$5:J$76,"W")+COUNTIFS(Fixtures!G$5:G$76,I101,Fixtures!K$5:K$76,"W"))</f>
        <v/>
      </c>
      <c r="L101">
        <f>IF(I101="","",COUNTIFS(Fixtures!D$5:D$76,I101,Fixtures!J$5:J$76,"D")+COUNTIFS(Fixtures!G$5:G$76,I101,Fixtures!K$5:K$76,"D"))</f>
        <v/>
      </c>
      <c r="M101">
        <f>IF(I101="","",SUMPRODUCT((Fixtures!D$5:D$76=I101)*(Fixtures!E$5:E$76&lt;&gt;"")*(Fixtures!F$5:F$76&lt;&gt;"")*(Fixtures!E$5:E$76-Fixtures!F$5:F$76))+SUMPRODUCT((Fixtures!G$5:G$76=I101)*(Fixtures!E$5:E$76&lt;&gt;"")*(Fixtures!F$5:F$76&lt;&gt;"")*(Fixtures!F$5:F$76-Fixtures!E$5:E$76)))</f>
        <v/>
      </c>
      <c r="N101">
        <f>IF(H101="","",COUNTIFS($J$5:$J$104,"&gt;"&amp;J101,$H$5:$H$104,"&lt;&gt;")+COUNTIFS($J$5:$J101,J101,$H$5:$H101,"&lt;&gt;"))</f>
        <v/>
      </c>
    </row>
    <row r="102">
      <c r="A102" s="43" t="n">
        <v>98</v>
      </c>
      <c r="B102" s="44">
        <f>IFERROR(INDEX($H$5:$H$104,MATCH(98,$N$5:$N$104,0)),"")</f>
        <v/>
      </c>
      <c r="C102" s="44">
        <f>IFERROR(INDEX($I$5:$I$104,MATCH(98,$N$5:$N$104,0)),"")</f>
        <v/>
      </c>
      <c r="D102" s="43">
        <f>IFERROR(INDEX($J$5:$J$104,MATCH(98,$N$5:$N$104,0)),"")</f>
        <v/>
      </c>
      <c r="E102" s="43">
        <f>IFERROR(INDEX($K$5:$K$104,MATCH(98,$N$5:$N$104,0)),"")</f>
        <v/>
      </c>
      <c r="F102" s="43">
        <f>IFERROR(INDEX($L$5:$L$104,MATCH(98,$N$5:$N$104,0)),"")</f>
        <v/>
      </c>
      <c r="H102">
        <f>IF(Allocation!B103="","",Allocation!B103)</f>
        <v/>
      </c>
      <c r="I102">
        <f>IF(Allocation!C103="","",Allocation!C103)</f>
        <v/>
      </c>
      <c r="J102">
        <f>IF(I102="","",SUMPRODUCT((Fixtures!D$5:D$76=I102)*(Fixtures!E$5:E$76&lt;&gt;"")*(Fixtures!F$5:F$76&lt;&gt;"")*((Fixtures!E$5:E$76&gt;Fixtures!F$5:F$76)*3+(Fixtures!E$5:E$76=Fixtures!F$5:F$76)*2))+SUMPRODUCT((Fixtures!G$5:G$76=I102)*(Fixtures!E$5:E$76&lt;&gt;"")*(Fixtures!F$5:F$76&lt;&gt;"")*((Fixtures!F$5:F$76&gt;Fixtures!E$5:E$76)*3+(Fixtures!E$5:E$76=Fixtures!F$5:F$76)*2)))</f>
        <v/>
      </c>
      <c r="K102">
        <f>IF(I102="","",COUNTIFS(Fixtures!D$5:D$76,I102,Fixtures!J$5:J$76,"W")+COUNTIFS(Fixtures!G$5:G$76,I102,Fixtures!K$5:K$76,"W"))</f>
        <v/>
      </c>
      <c r="L102">
        <f>IF(I102="","",COUNTIFS(Fixtures!D$5:D$76,I102,Fixtures!J$5:J$76,"D")+COUNTIFS(Fixtures!G$5:G$76,I102,Fixtures!K$5:K$76,"D"))</f>
        <v/>
      </c>
      <c r="M102">
        <f>IF(I102="","",SUMPRODUCT((Fixtures!D$5:D$76=I102)*(Fixtures!E$5:E$76&lt;&gt;"")*(Fixtures!F$5:F$76&lt;&gt;"")*(Fixtures!E$5:E$76-Fixtures!F$5:F$76))+SUMPRODUCT((Fixtures!G$5:G$76=I102)*(Fixtures!E$5:E$76&lt;&gt;"")*(Fixtures!F$5:F$76&lt;&gt;"")*(Fixtures!F$5:F$76-Fixtures!E$5:E$76)))</f>
        <v/>
      </c>
      <c r="N102">
        <f>IF(H102="","",COUNTIFS($J$5:$J$104,"&gt;"&amp;J102,$H$5:$H$104,"&lt;&gt;")+COUNTIFS($J$5:$J102,J102,$H$5:$H102,"&lt;&gt;"))</f>
        <v/>
      </c>
    </row>
    <row r="103">
      <c r="A103" s="43" t="n">
        <v>99</v>
      </c>
      <c r="B103" s="44">
        <f>IFERROR(INDEX($H$5:$H$104,MATCH(99,$N$5:$N$104,0)),"")</f>
        <v/>
      </c>
      <c r="C103" s="44">
        <f>IFERROR(INDEX($I$5:$I$104,MATCH(99,$N$5:$N$104,0)),"")</f>
        <v/>
      </c>
      <c r="D103" s="43">
        <f>IFERROR(INDEX($J$5:$J$104,MATCH(99,$N$5:$N$104,0)),"")</f>
        <v/>
      </c>
      <c r="E103" s="43">
        <f>IFERROR(INDEX($K$5:$K$104,MATCH(99,$N$5:$N$104,0)),"")</f>
        <v/>
      </c>
      <c r="F103" s="43">
        <f>IFERROR(INDEX($L$5:$L$104,MATCH(99,$N$5:$N$104,0)),"")</f>
        <v/>
      </c>
      <c r="H103">
        <f>IF(Allocation!B104="","",Allocation!B104)</f>
        <v/>
      </c>
      <c r="I103">
        <f>IF(Allocation!C104="","",Allocation!C104)</f>
        <v/>
      </c>
      <c r="J103">
        <f>IF(I103="","",SUMPRODUCT((Fixtures!D$5:D$76=I103)*(Fixtures!E$5:E$76&lt;&gt;"")*(Fixtures!F$5:F$76&lt;&gt;"")*((Fixtures!E$5:E$76&gt;Fixtures!F$5:F$76)*3+(Fixtures!E$5:E$76=Fixtures!F$5:F$76)*2))+SUMPRODUCT((Fixtures!G$5:G$76=I103)*(Fixtures!E$5:E$76&lt;&gt;"")*(Fixtures!F$5:F$76&lt;&gt;"")*((Fixtures!F$5:F$76&gt;Fixtures!E$5:E$76)*3+(Fixtures!E$5:E$76=Fixtures!F$5:F$76)*2)))</f>
        <v/>
      </c>
      <c r="K103">
        <f>IF(I103="","",COUNTIFS(Fixtures!D$5:D$76,I103,Fixtures!J$5:J$76,"W")+COUNTIFS(Fixtures!G$5:G$76,I103,Fixtures!K$5:K$76,"W"))</f>
        <v/>
      </c>
      <c r="L103">
        <f>IF(I103="","",COUNTIFS(Fixtures!D$5:D$76,I103,Fixtures!J$5:J$76,"D")+COUNTIFS(Fixtures!G$5:G$76,I103,Fixtures!K$5:K$76,"D"))</f>
        <v/>
      </c>
      <c r="M103">
        <f>IF(I103="","",SUMPRODUCT((Fixtures!D$5:D$76=I103)*(Fixtures!E$5:E$76&lt;&gt;"")*(Fixtures!F$5:F$76&lt;&gt;"")*(Fixtures!E$5:E$76-Fixtures!F$5:F$76))+SUMPRODUCT((Fixtures!G$5:G$76=I103)*(Fixtures!E$5:E$76&lt;&gt;"")*(Fixtures!F$5:F$76&lt;&gt;"")*(Fixtures!F$5:F$76-Fixtures!E$5:E$76)))</f>
        <v/>
      </c>
      <c r="N103">
        <f>IF(H103="","",COUNTIFS($J$5:$J$104,"&gt;"&amp;J103,$H$5:$H$104,"&lt;&gt;")+COUNTIFS($J$5:$J103,J103,$H$5:$H103,"&lt;&gt;"))</f>
        <v/>
      </c>
    </row>
    <row r="104">
      <c r="A104" s="43" t="n">
        <v>100</v>
      </c>
      <c r="B104" s="44">
        <f>IFERROR(INDEX($H$5:$H$104,MATCH(100,$N$5:$N$104,0)),"")</f>
        <v/>
      </c>
      <c r="C104" s="44">
        <f>IFERROR(INDEX($I$5:$I$104,MATCH(100,$N$5:$N$104,0)),"")</f>
        <v/>
      </c>
      <c r="D104" s="43">
        <f>IFERROR(INDEX($J$5:$J$104,MATCH(100,$N$5:$N$104,0)),"")</f>
        <v/>
      </c>
      <c r="E104" s="43">
        <f>IFERROR(INDEX($K$5:$K$104,MATCH(100,$N$5:$N$104,0)),"")</f>
        <v/>
      </c>
      <c r="F104" s="43">
        <f>IFERROR(INDEX($L$5:$L$104,MATCH(100,$N$5:$N$104,0)),"")</f>
        <v/>
      </c>
      <c r="H104">
        <f>IF(Allocation!B105="","",Allocation!B105)</f>
        <v/>
      </c>
      <c r="I104">
        <f>IF(Allocation!C105="","",Allocation!C105)</f>
        <v/>
      </c>
      <c r="J104">
        <f>IF(I104="","",SUMPRODUCT((Fixtures!D$5:D$76=I104)*(Fixtures!E$5:E$76&lt;&gt;"")*(Fixtures!F$5:F$76&lt;&gt;"")*((Fixtures!E$5:E$76&gt;Fixtures!F$5:F$76)*3+(Fixtures!E$5:E$76=Fixtures!F$5:F$76)*2))+SUMPRODUCT((Fixtures!G$5:G$76=I104)*(Fixtures!E$5:E$76&lt;&gt;"")*(Fixtures!F$5:F$76&lt;&gt;"")*((Fixtures!F$5:F$76&gt;Fixtures!E$5:E$76)*3+(Fixtures!E$5:E$76=Fixtures!F$5:F$76)*2)))</f>
        <v/>
      </c>
      <c r="K104">
        <f>IF(I104="","",COUNTIFS(Fixtures!D$5:D$76,I104,Fixtures!J$5:J$76,"W")+COUNTIFS(Fixtures!G$5:G$76,I104,Fixtures!K$5:K$76,"W"))</f>
        <v/>
      </c>
      <c r="L104">
        <f>IF(I104="","",COUNTIFS(Fixtures!D$5:D$76,I104,Fixtures!J$5:J$76,"D")+COUNTIFS(Fixtures!G$5:G$76,I104,Fixtures!K$5:K$76,"D"))</f>
        <v/>
      </c>
      <c r="M104">
        <f>IF(I104="","",SUMPRODUCT((Fixtures!D$5:D$76=I104)*(Fixtures!E$5:E$76&lt;&gt;"")*(Fixtures!F$5:F$76&lt;&gt;"")*(Fixtures!E$5:E$76-Fixtures!F$5:F$76))+SUMPRODUCT((Fixtures!G$5:G$76=I104)*(Fixtures!E$5:E$76&lt;&gt;"")*(Fixtures!F$5:F$76&lt;&gt;"")*(Fixtures!F$5:F$76-Fixtures!E$5:E$76)))</f>
        <v/>
      </c>
      <c r="N104">
        <f>IF(H104="","",COUNTIFS($J$5:$J$104,"&gt;"&amp;J104,$H$5:$H$104,"&lt;&gt;")+COUNTIFS($J$5:$J104,J104,$H$5:$H104,"&lt;&gt;"))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7" customWidth="1" min="4" max="4"/>
    <col width="2" customWidth="1" min="5" max="5"/>
    <col width="5" customWidth="1" min="6" max="6"/>
    <col width="25" customWidth="1" min="7" max="7"/>
    <col width="18" customWidth="1" min="8" max="8"/>
    <col width="7" customWidth="1" min="9" max="9"/>
    <col width="2" customWidth="1" min="10" max="10"/>
    <col width="5" customWidth="1" min="11" max="11"/>
    <col width="22" customWidth="1" min="12" max="12"/>
    <col width="25" customWidth="1" min="13" max="13"/>
    <col width="12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>
      <c r="A1" s="1" t="inlineStr">
        <is>
          <t>Golden Boot Tracker</t>
        </is>
      </c>
    </row>
    <row r="2">
      <c r="A2" s="16" t="inlineStr">
        <is>
          <t>Log goal scorers in the table below. Participant standings auto-update.</t>
        </is>
      </c>
    </row>
    <row r="4">
      <c r="A4" s="2" t="inlineStr">
        <is>
          <t>GOAL LOG</t>
        </is>
      </c>
      <c r="D4" s="52" t="inlineStr">
        <is>
          <t>Enter one row per scorer per match</t>
        </is>
      </c>
      <c r="F4" s="2" t="inlineStr">
        <is>
          <t>TOP SCORERS (Auto)</t>
        </is>
      </c>
      <c r="K4" s="2" t="inlineStr">
        <is>
          <t>PARTICIPANT STANDINGS (Auto)</t>
        </is>
      </c>
    </row>
    <row r="5">
      <c r="A5" s="3" t="inlineStr">
        <is>
          <t>Match #</t>
        </is>
      </c>
      <c r="B5" s="3" t="inlineStr">
        <is>
          <t>Player Name</t>
        </is>
      </c>
      <c r="C5" s="3" t="inlineStr">
        <is>
          <t>Team</t>
        </is>
      </c>
      <c r="D5" s="3" t="inlineStr">
        <is>
          <t>Goals</t>
        </is>
      </c>
      <c r="F5" s="53" t="inlineStr">
        <is>
          <t>Rank</t>
        </is>
      </c>
      <c r="G5" s="53" t="inlineStr">
        <is>
          <t>Player</t>
        </is>
      </c>
      <c r="H5" s="53" t="inlineStr">
        <is>
          <t>Team</t>
        </is>
      </c>
      <c r="I5" s="53" t="inlineStr">
        <is>
          <t>Goals</t>
        </is>
      </c>
      <c r="K5" s="54" t="inlineStr">
        <is>
          <t>Rank</t>
        </is>
      </c>
      <c r="L5" s="54" t="inlineStr">
        <is>
          <t>Participant</t>
        </is>
      </c>
      <c r="M5" s="54" t="inlineStr">
        <is>
          <t>Nominated Player</t>
        </is>
      </c>
      <c r="N5" s="54" t="inlineStr">
        <is>
          <t>Player Goals</t>
        </is>
      </c>
      <c r="P5" s="55" t="inlineStr">
        <is>
          <t>Player</t>
        </is>
      </c>
      <c r="Q5" s="55" t="inlineStr">
        <is>
          <t>Team</t>
        </is>
      </c>
      <c r="R5" s="55" t="inlineStr">
        <is>
          <t>Goals</t>
        </is>
      </c>
      <c r="S5" s="55" t="inlineStr">
        <is>
          <t>Rank</t>
        </is>
      </c>
      <c r="T5" s="55" t="inlineStr">
        <is>
          <t>Participant</t>
        </is>
      </c>
      <c r="U5" s="55" t="inlineStr">
        <is>
          <t>Nomination</t>
        </is>
      </c>
      <c r="V5" s="55" t="inlineStr">
        <is>
          <t>Goals</t>
        </is>
      </c>
      <c r="W5" s="55" t="inlineStr">
        <is>
          <t>Rank</t>
        </is>
      </c>
    </row>
    <row r="6">
      <c r="A6" s="43" t="n"/>
      <c r="B6" s="56" t="n"/>
      <c r="C6" s="56" t="n"/>
      <c r="D6" s="43" t="n"/>
      <c r="F6" s="46" t="n">
        <v>1</v>
      </c>
      <c r="G6" s="47">
        <f>IFERROR(INDEX($P$6:$P$305,MATCH(1,$S$6:$S$305,0)),"")</f>
        <v/>
      </c>
      <c r="H6" s="47">
        <f>IFERROR(INDEX($Q$6:$Q$305,MATCH(1,$S$6:$S$305,0)),"")</f>
        <v/>
      </c>
      <c r="I6" s="46">
        <f>IFERROR(INDEX($R$6:$R$305,MATCH(1,$S$6:$S$305,0)),"")</f>
        <v/>
      </c>
      <c r="K6" s="46" t="n">
        <v>1</v>
      </c>
      <c r="L6" s="47">
        <f>IFERROR(INDEX($T$6:$T$105,MATCH(1,$W$6:$W$105,0)),"")</f>
        <v/>
      </c>
      <c r="M6" s="47">
        <f>IFERROR(INDEX($U$6:$U$105,MATCH(1,$W$6:$W$105,0)),"")</f>
        <v/>
      </c>
      <c r="N6" s="46">
        <f>IFERROR(INDEX($V$6:$V$105,MATCH(1,$W$6:$W$105,0)),"")</f>
        <v/>
      </c>
      <c r="P6">
        <f>IF(B6="","",B6)</f>
        <v/>
      </c>
      <c r="Q6">
        <f>IF(C6="","",C6)</f>
        <v/>
      </c>
      <c r="R6">
        <f>IF(B6="","",SUMIF($B$6:$B$305,B6,$D$6:$D$305))</f>
        <v/>
      </c>
      <c r="S6">
        <f>IF(OR(B6="",COUNTIF($B$6:$B6,B6)&gt;1),"",SUMPRODUCT((COUNTIF($B$5:B6,$B$6:$B$305)=1)*($R$6:$R$305&gt;R6)*($B$6:$B$305&lt;&gt;""))+1)</f>
        <v/>
      </c>
      <c r="T6">
        <f>IF(Participants!B5="","",Participants!B5)</f>
        <v/>
      </c>
      <c r="U6">
        <f>IF(Participants!C5="","",Participants!C5)</f>
        <v/>
      </c>
      <c r="V6">
        <f>IF(U6="","",IFERROR(SUMIF($B$6:$B$305,U6,$D$6:$D$305),0))</f>
        <v/>
      </c>
      <c r="W6">
        <f>IF(T6="","",COUNTIFS($V$6:$V$105,"&gt;"&amp;V6,$T$6:$T$105,"&lt;&gt;")+COUNTIFS($V$6:$V6,"="&amp;V6,$T$6:$T6,"&lt;&gt;"))</f>
        <v/>
      </c>
    </row>
    <row r="7">
      <c r="A7" s="43" t="n"/>
      <c r="B7" s="56" t="n"/>
      <c r="C7" s="56" t="n"/>
      <c r="D7" s="43" t="n"/>
      <c r="F7" s="48" t="n">
        <v>2</v>
      </c>
      <c r="G7" s="49">
        <f>IFERROR(INDEX($P$6:$P$305,MATCH(2,$S$6:$S$305,0)),"")</f>
        <v/>
      </c>
      <c r="H7" s="49">
        <f>IFERROR(INDEX($Q$6:$Q$305,MATCH(2,$S$6:$S$305,0)),"")</f>
        <v/>
      </c>
      <c r="I7" s="48">
        <f>IFERROR(INDEX($R$6:$R$305,MATCH(2,$S$6:$S$305,0)),"")</f>
        <v/>
      </c>
      <c r="K7" s="48" t="n">
        <v>2</v>
      </c>
      <c r="L7" s="49">
        <f>IFERROR(INDEX($T$6:$T$105,MATCH(2,$W$6:$W$105,0)),"")</f>
        <v/>
      </c>
      <c r="M7" s="49">
        <f>IFERROR(INDEX($U$6:$U$105,MATCH(2,$W$6:$W$105,0)),"")</f>
        <v/>
      </c>
      <c r="N7" s="48">
        <f>IFERROR(INDEX($V$6:$V$105,MATCH(2,$W$6:$W$105,0)),"")</f>
        <v/>
      </c>
      <c r="P7">
        <f>IF(B7="","",B7)</f>
        <v/>
      </c>
      <c r="Q7">
        <f>IF(C7="","",C7)</f>
        <v/>
      </c>
      <c r="R7">
        <f>IF(B7="","",SUMIF($B$6:$B$305,B7,$D$6:$D$305))</f>
        <v/>
      </c>
      <c r="S7">
        <f>IF(OR(B7="",COUNTIF($B$6:$B7,B7)&gt;1),"",SUMPRODUCT((COUNTIF($B$5:B7,$B$6:$B$305)=1)*($R$6:$R$305&gt;R7)*($B$6:$B$305&lt;&gt;""))+1)</f>
        <v/>
      </c>
      <c r="T7">
        <f>IF(Participants!B6="","",Participants!B6)</f>
        <v/>
      </c>
      <c r="U7">
        <f>IF(Participants!C6="","",Participants!C6)</f>
        <v/>
      </c>
      <c r="V7">
        <f>IF(U7="","",IFERROR(SUMIF($B$6:$B$305,U7,$D$6:$D$305),0))</f>
        <v/>
      </c>
      <c r="W7">
        <f>IF(T7="","",COUNTIFS($V$6:$V$105,"&gt;"&amp;V7,$T$6:$T$105,"&lt;&gt;")+COUNTIFS($V$6:$V7,"="&amp;V7,$T$6:$T7,"&lt;&gt;"))</f>
        <v/>
      </c>
    </row>
    <row r="8">
      <c r="A8" s="43" t="n"/>
      <c r="B8" s="56" t="n"/>
      <c r="C8" s="56" t="n"/>
      <c r="D8" s="43" t="n"/>
      <c r="F8" s="50" t="n">
        <v>3</v>
      </c>
      <c r="G8" s="51">
        <f>IFERROR(INDEX($P$6:$P$305,MATCH(3,$S$6:$S$305,0)),"")</f>
        <v/>
      </c>
      <c r="H8" s="51">
        <f>IFERROR(INDEX($Q$6:$Q$305,MATCH(3,$S$6:$S$305,0)),"")</f>
        <v/>
      </c>
      <c r="I8" s="50">
        <f>IFERROR(INDEX($R$6:$R$305,MATCH(3,$S$6:$S$305,0)),"")</f>
        <v/>
      </c>
      <c r="K8" s="50" t="n">
        <v>3</v>
      </c>
      <c r="L8" s="51">
        <f>IFERROR(INDEX($T$6:$T$105,MATCH(3,$W$6:$W$105,0)),"")</f>
        <v/>
      </c>
      <c r="M8" s="51">
        <f>IFERROR(INDEX($U$6:$U$105,MATCH(3,$W$6:$W$105,0)),"")</f>
        <v/>
      </c>
      <c r="N8" s="50">
        <f>IFERROR(INDEX($V$6:$V$105,MATCH(3,$W$6:$W$105,0)),"")</f>
        <v/>
      </c>
      <c r="P8">
        <f>IF(B8="","",B8)</f>
        <v/>
      </c>
      <c r="Q8">
        <f>IF(C8="","",C8)</f>
        <v/>
      </c>
      <c r="R8">
        <f>IF(B8="","",SUMIF($B$6:$B$305,B8,$D$6:$D$305))</f>
        <v/>
      </c>
      <c r="S8">
        <f>IF(OR(B8="",COUNTIF($B$6:$B8,B8)&gt;1),"",SUMPRODUCT((COUNTIF($B$5:B8,$B$6:$B$305)=1)*($R$6:$R$305&gt;R8)*($B$6:$B$305&lt;&gt;""))+1)</f>
        <v/>
      </c>
      <c r="T8">
        <f>IF(Participants!B7="","",Participants!B7)</f>
        <v/>
      </c>
      <c r="U8">
        <f>IF(Participants!C7="","",Participants!C7)</f>
        <v/>
      </c>
      <c r="V8">
        <f>IF(U8="","",IFERROR(SUMIF($B$6:$B$305,U8,$D$6:$D$305),0))</f>
        <v/>
      </c>
      <c r="W8">
        <f>IF(T8="","",COUNTIFS($V$6:$V$105,"&gt;"&amp;V8,$T$6:$T$105,"&lt;&gt;")+COUNTIFS($V$6:$V8,"="&amp;V8,$T$6:$T8,"&lt;&gt;"))</f>
        <v/>
      </c>
    </row>
    <row r="9">
      <c r="A9" s="43" t="n"/>
      <c r="B9" s="56" t="n"/>
      <c r="C9" s="56" t="n"/>
      <c r="D9" s="43" t="n"/>
      <c r="F9" s="43" t="n">
        <v>4</v>
      </c>
      <c r="G9" s="44">
        <f>IFERROR(INDEX($P$6:$P$305,MATCH(4,$S$6:$S$305,0)),"")</f>
        <v/>
      </c>
      <c r="H9" s="44">
        <f>IFERROR(INDEX($Q$6:$Q$305,MATCH(4,$S$6:$S$305,0)),"")</f>
        <v/>
      </c>
      <c r="I9" s="43">
        <f>IFERROR(INDEX($R$6:$R$305,MATCH(4,$S$6:$S$305,0)),"")</f>
        <v/>
      </c>
      <c r="K9" s="43" t="n">
        <v>4</v>
      </c>
      <c r="L9" s="44">
        <f>IFERROR(INDEX($T$6:$T$105,MATCH(4,$W$6:$W$105,0)),"")</f>
        <v/>
      </c>
      <c r="M9" s="44">
        <f>IFERROR(INDEX($U$6:$U$105,MATCH(4,$W$6:$W$105,0)),"")</f>
        <v/>
      </c>
      <c r="N9" s="43">
        <f>IFERROR(INDEX($V$6:$V$105,MATCH(4,$W$6:$W$105,0)),"")</f>
        <v/>
      </c>
      <c r="P9">
        <f>IF(B9="","",B9)</f>
        <v/>
      </c>
      <c r="Q9">
        <f>IF(C9="","",C9)</f>
        <v/>
      </c>
      <c r="R9">
        <f>IF(B9="","",SUMIF($B$6:$B$305,B9,$D$6:$D$305))</f>
        <v/>
      </c>
      <c r="S9">
        <f>IF(OR(B9="",COUNTIF($B$6:$B9,B9)&gt;1),"",SUMPRODUCT((COUNTIF($B$5:B9,$B$6:$B$305)=1)*($R$6:$R$305&gt;R9)*($B$6:$B$305&lt;&gt;""))+1)</f>
        <v/>
      </c>
      <c r="T9">
        <f>IF(Participants!B8="","",Participants!B8)</f>
        <v/>
      </c>
      <c r="U9">
        <f>IF(Participants!C8="","",Participants!C8)</f>
        <v/>
      </c>
      <c r="V9">
        <f>IF(U9="","",IFERROR(SUMIF($B$6:$B$305,U9,$D$6:$D$305),0))</f>
        <v/>
      </c>
      <c r="W9">
        <f>IF(T9="","",COUNTIFS($V$6:$V$105,"&gt;"&amp;V9,$T$6:$T$105,"&lt;&gt;")+COUNTIFS($V$6:$V9,"="&amp;V9,$T$6:$T9,"&lt;&gt;"))</f>
        <v/>
      </c>
    </row>
    <row r="10">
      <c r="A10" s="43" t="n"/>
      <c r="B10" s="56" t="n"/>
      <c r="C10" s="56" t="n"/>
      <c r="D10" s="43" t="n"/>
      <c r="F10" s="43" t="n">
        <v>5</v>
      </c>
      <c r="G10" s="44">
        <f>IFERROR(INDEX($P$6:$P$305,MATCH(5,$S$6:$S$305,0)),"")</f>
        <v/>
      </c>
      <c r="H10" s="44">
        <f>IFERROR(INDEX($Q$6:$Q$305,MATCH(5,$S$6:$S$305,0)),"")</f>
        <v/>
      </c>
      <c r="I10" s="43">
        <f>IFERROR(INDEX($R$6:$R$305,MATCH(5,$S$6:$S$305,0)),"")</f>
        <v/>
      </c>
      <c r="K10" s="43" t="n">
        <v>5</v>
      </c>
      <c r="L10" s="44">
        <f>IFERROR(INDEX($T$6:$T$105,MATCH(5,$W$6:$W$105,0)),"")</f>
        <v/>
      </c>
      <c r="M10" s="44">
        <f>IFERROR(INDEX($U$6:$U$105,MATCH(5,$W$6:$W$105,0)),"")</f>
        <v/>
      </c>
      <c r="N10" s="43">
        <f>IFERROR(INDEX($V$6:$V$105,MATCH(5,$W$6:$W$105,0)),"")</f>
        <v/>
      </c>
      <c r="P10">
        <f>IF(B10="","",B10)</f>
        <v/>
      </c>
      <c r="Q10">
        <f>IF(C10="","",C10)</f>
        <v/>
      </c>
      <c r="R10">
        <f>IF(B10="","",SUMIF($B$6:$B$305,B10,$D$6:$D$305))</f>
        <v/>
      </c>
      <c r="S10">
        <f>IF(OR(B10="",COUNTIF($B$6:$B10,B10)&gt;1),"",SUMPRODUCT((COUNTIF($B$5:B10,$B$6:$B$305)=1)*($R$6:$R$305&gt;R10)*($B$6:$B$305&lt;&gt;""))+1)</f>
        <v/>
      </c>
      <c r="T10">
        <f>IF(Participants!B9="","",Participants!B9)</f>
        <v/>
      </c>
      <c r="U10">
        <f>IF(Participants!C9="","",Participants!C9)</f>
        <v/>
      </c>
      <c r="V10">
        <f>IF(U10="","",IFERROR(SUMIF($B$6:$B$305,U10,$D$6:$D$305),0))</f>
        <v/>
      </c>
      <c r="W10">
        <f>IF(T10="","",COUNTIFS($V$6:$V$105,"&gt;"&amp;V10,$T$6:$T$105,"&lt;&gt;")+COUNTIFS($V$6:$V10,"="&amp;V10,$T$6:$T10,"&lt;&gt;"))</f>
        <v/>
      </c>
    </row>
    <row r="11">
      <c r="A11" s="43" t="n"/>
      <c r="B11" s="56" t="n"/>
      <c r="C11" s="56" t="n"/>
      <c r="D11" s="43" t="n"/>
      <c r="F11" s="43" t="n">
        <v>6</v>
      </c>
      <c r="G11" s="44">
        <f>IFERROR(INDEX($P$6:$P$305,MATCH(6,$S$6:$S$305,0)),"")</f>
        <v/>
      </c>
      <c r="H11" s="44">
        <f>IFERROR(INDEX($Q$6:$Q$305,MATCH(6,$S$6:$S$305,0)),"")</f>
        <v/>
      </c>
      <c r="I11" s="43">
        <f>IFERROR(INDEX($R$6:$R$305,MATCH(6,$S$6:$S$305,0)),"")</f>
        <v/>
      </c>
      <c r="K11" s="43" t="n">
        <v>6</v>
      </c>
      <c r="L11" s="44">
        <f>IFERROR(INDEX($T$6:$T$105,MATCH(6,$W$6:$W$105,0)),"")</f>
        <v/>
      </c>
      <c r="M11" s="44">
        <f>IFERROR(INDEX($U$6:$U$105,MATCH(6,$W$6:$W$105,0)),"")</f>
        <v/>
      </c>
      <c r="N11" s="43">
        <f>IFERROR(INDEX($V$6:$V$105,MATCH(6,$W$6:$W$105,0)),"")</f>
        <v/>
      </c>
      <c r="P11">
        <f>IF(B11="","",B11)</f>
        <v/>
      </c>
      <c r="Q11">
        <f>IF(C11="","",C11)</f>
        <v/>
      </c>
      <c r="R11">
        <f>IF(B11="","",SUMIF($B$6:$B$305,B11,$D$6:$D$305))</f>
        <v/>
      </c>
      <c r="S11">
        <f>IF(OR(B11="",COUNTIF($B$6:$B11,B11)&gt;1),"",SUMPRODUCT((COUNTIF($B$5:B11,$B$6:$B$305)=1)*($R$6:$R$305&gt;R11)*($B$6:$B$305&lt;&gt;""))+1)</f>
        <v/>
      </c>
      <c r="T11">
        <f>IF(Participants!B10="","",Participants!B10)</f>
        <v/>
      </c>
      <c r="U11">
        <f>IF(Participants!C10="","",Participants!C10)</f>
        <v/>
      </c>
      <c r="V11">
        <f>IF(U11="","",IFERROR(SUMIF($B$6:$B$305,U11,$D$6:$D$305),0))</f>
        <v/>
      </c>
      <c r="W11">
        <f>IF(T11="","",COUNTIFS($V$6:$V$105,"&gt;"&amp;V11,$T$6:$T$105,"&lt;&gt;")+COUNTIFS($V$6:$V11,"="&amp;V11,$T$6:$T11,"&lt;&gt;"))</f>
        <v/>
      </c>
    </row>
    <row r="12">
      <c r="A12" s="43" t="n"/>
      <c r="B12" s="56" t="n"/>
      <c r="C12" s="56" t="n"/>
      <c r="D12" s="43" t="n"/>
      <c r="F12" s="43" t="n">
        <v>7</v>
      </c>
      <c r="G12" s="44">
        <f>IFERROR(INDEX($P$6:$P$305,MATCH(7,$S$6:$S$305,0)),"")</f>
        <v/>
      </c>
      <c r="H12" s="44">
        <f>IFERROR(INDEX($Q$6:$Q$305,MATCH(7,$S$6:$S$305,0)),"")</f>
        <v/>
      </c>
      <c r="I12" s="43">
        <f>IFERROR(INDEX($R$6:$R$305,MATCH(7,$S$6:$S$305,0)),"")</f>
        <v/>
      </c>
      <c r="K12" s="43" t="n">
        <v>7</v>
      </c>
      <c r="L12" s="44">
        <f>IFERROR(INDEX($T$6:$T$105,MATCH(7,$W$6:$W$105,0)),"")</f>
        <v/>
      </c>
      <c r="M12" s="44">
        <f>IFERROR(INDEX($U$6:$U$105,MATCH(7,$W$6:$W$105,0)),"")</f>
        <v/>
      </c>
      <c r="N12" s="43">
        <f>IFERROR(INDEX($V$6:$V$105,MATCH(7,$W$6:$W$105,0)),"")</f>
        <v/>
      </c>
      <c r="P12">
        <f>IF(B12="","",B12)</f>
        <v/>
      </c>
      <c r="Q12">
        <f>IF(C12="","",C12)</f>
        <v/>
      </c>
      <c r="R12">
        <f>IF(B12="","",SUMIF($B$6:$B$305,B12,$D$6:$D$305))</f>
        <v/>
      </c>
      <c r="S12">
        <f>IF(OR(B12="",COUNTIF($B$6:$B12,B12)&gt;1),"",SUMPRODUCT((COUNTIF($B$5:B12,$B$6:$B$305)=1)*($R$6:$R$305&gt;R12)*($B$6:$B$305&lt;&gt;""))+1)</f>
        <v/>
      </c>
      <c r="T12">
        <f>IF(Participants!B11="","",Participants!B11)</f>
        <v/>
      </c>
      <c r="U12">
        <f>IF(Participants!C11="","",Participants!C11)</f>
        <v/>
      </c>
      <c r="V12">
        <f>IF(U12="","",IFERROR(SUMIF($B$6:$B$305,U12,$D$6:$D$305),0))</f>
        <v/>
      </c>
      <c r="W12">
        <f>IF(T12="","",COUNTIFS($V$6:$V$105,"&gt;"&amp;V12,$T$6:$T$105,"&lt;&gt;")+COUNTIFS($V$6:$V12,"="&amp;V12,$T$6:$T12,"&lt;&gt;"))</f>
        <v/>
      </c>
    </row>
    <row r="13">
      <c r="A13" s="43" t="n"/>
      <c r="B13" s="56" t="n"/>
      <c r="C13" s="56" t="n"/>
      <c r="D13" s="43" t="n"/>
      <c r="F13" s="43" t="n">
        <v>8</v>
      </c>
      <c r="G13" s="44">
        <f>IFERROR(INDEX($P$6:$P$305,MATCH(8,$S$6:$S$305,0)),"")</f>
        <v/>
      </c>
      <c r="H13" s="44">
        <f>IFERROR(INDEX($Q$6:$Q$305,MATCH(8,$S$6:$S$305,0)),"")</f>
        <v/>
      </c>
      <c r="I13" s="43">
        <f>IFERROR(INDEX($R$6:$R$305,MATCH(8,$S$6:$S$305,0)),"")</f>
        <v/>
      </c>
      <c r="K13" s="43" t="n">
        <v>8</v>
      </c>
      <c r="L13" s="44">
        <f>IFERROR(INDEX($T$6:$T$105,MATCH(8,$W$6:$W$105,0)),"")</f>
        <v/>
      </c>
      <c r="M13" s="44">
        <f>IFERROR(INDEX($U$6:$U$105,MATCH(8,$W$6:$W$105,0)),"")</f>
        <v/>
      </c>
      <c r="N13" s="43">
        <f>IFERROR(INDEX($V$6:$V$105,MATCH(8,$W$6:$W$105,0)),"")</f>
        <v/>
      </c>
      <c r="P13">
        <f>IF(B13="","",B13)</f>
        <v/>
      </c>
      <c r="Q13">
        <f>IF(C13="","",C13)</f>
        <v/>
      </c>
      <c r="R13">
        <f>IF(B13="","",SUMIF($B$6:$B$305,B13,$D$6:$D$305))</f>
        <v/>
      </c>
      <c r="S13">
        <f>IF(OR(B13="",COUNTIF($B$6:$B13,B13)&gt;1),"",SUMPRODUCT((COUNTIF($B$5:B13,$B$6:$B$305)=1)*($R$6:$R$305&gt;R13)*($B$6:$B$305&lt;&gt;""))+1)</f>
        <v/>
      </c>
      <c r="T13">
        <f>IF(Participants!B12="","",Participants!B12)</f>
        <v/>
      </c>
      <c r="U13">
        <f>IF(Participants!C12="","",Participants!C12)</f>
        <v/>
      </c>
      <c r="V13">
        <f>IF(U13="","",IFERROR(SUMIF($B$6:$B$305,U13,$D$6:$D$305),0))</f>
        <v/>
      </c>
      <c r="W13">
        <f>IF(T13="","",COUNTIFS($V$6:$V$105,"&gt;"&amp;V13,$T$6:$T$105,"&lt;&gt;")+COUNTIFS($V$6:$V13,"="&amp;V13,$T$6:$T13,"&lt;&gt;"))</f>
        <v/>
      </c>
    </row>
    <row r="14">
      <c r="A14" s="43" t="n"/>
      <c r="B14" s="56" t="n"/>
      <c r="C14" s="56" t="n"/>
      <c r="D14" s="43" t="n"/>
      <c r="F14" s="43" t="n">
        <v>9</v>
      </c>
      <c r="G14" s="44">
        <f>IFERROR(INDEX($P$6:$P$305,MATCH(9,$S$6:$S$305,0)),"")</f>
        <v/>
      </c>
      <c r="H14" s="44">
        <f>IFERROR(INDEX($Q$6:$Q$305,MATCH(9,$S$6:$S$305,0)),"")</f>
        <v/>
      </c>
      <c r="I14" s="43">
        <f>IFERROR(INDEX($R$6:$R$305,MATCH(9,$S$6:$S$305,0)),"")</f>
        <v/>
      </c>
      <c r="K14" s="43" t="n">
        <v>9</v>
      </c>
      <c r="L14" s="44">
        <f>IFERROR(INDEX($T$6:$T$105,MATCH(9,$W$6:$W$105,0)),"")</f>
        <v/>
      </c>
      <c r="M14" s="44">
        <f>IFERROR(INDEX($U$6:$U$105,MATCH(9,$W$6:$W$105,0)),"")</f>
        <v/>
      </c>
      <c r="N14" s="43">
        <f>IFERROR(INDEX($V$6:$V$105,MATCH(9,$W$6:$W$105,0)),"")</f>
        <v/>
      </c>
      <c r="P14">
        <f>IF(B14="","",B14)</f>
        <v/>
      </c>
      <c r="Q14">
        <f>IF(C14="","",C14)</f>
        <v/>
      </c>
      <c r="R14">
        <f>IF(B14="","",SUMIF($B$6:$B$305,B14,$D$6:$D$305))</f>
        <v/>
      </c>
      <c r="S14">
        <f>IF(OR(B14="",COUNTIF($B$6:$B14,B14)&gt;1),"",SUMPRODUCT((COUNTIF($B$5:B14,$B$6:$B$305)=1)*($R$6:$R$305&gt;R14)*($B$6:$B$305&lt;&gt;""))+1)</f>
        <v/>
      </c>
      <c r="T14">
        <f>IF(Participants!B13="","",Participants!B13)</f>
        <v/>
      </c>
      <c r="U14">
        <f>IF(Participants!C13="","",Participants!C13)</f>
        <v/>
      </c>
      <c r="V14">
        <f>IF(U14="","",IFERROR(SUMIF($B$6:$B$305,U14,$D$6:$D$305),0))</f>
        <v/>
      </c>
      <c r="W14">
        <f>IF(T14="","",COUNTIFS($V$6:$V$105,"&gt;"&amp;V14,$T$6:$T$105,"&lt;&gt;")+COUNTIFS($V$6:$V14,"="&amp;V14,$T$6:$T14,"&lt;&gt;"))</f>
        <v/>
      </c>
    </row>
    <row r="15">
      <c r="A15" s="43" t="n"/>
      <c r="B15" s="56" t="n"/>
      <c r="C15" s="56" t="n"/>
      <c r="D15" s="43" t="n"/>
      <c r="F15" s="43" t="n">
        <v>10</v>
      </c>
      <c r="G15" s="44">
        <f>IFERROR(INDEX($P$6:$P$305,MATCH(10,$S$6:$S$305,0)),"")</f>
        <v/>
      </c>
      <c r="H15" s="44">
        <f>IFERROR(INDEX($Q$6:$Q$305,MATCH(10,$S$6:$S$305,0)),"")</f>
        <v/>
      </c>
      <c r="I15" s="43">
        <f>IFERROR(INDEX($R$6:$R$305,MATCH(10,$S$6:$S$305,0)),"")</f>
        <v/>
      </c>
      <c r="K15" s="43" t="n">
        <v>10</v>
      </c>
      <c r="L15" s="44">
        <f>IFERROR(INDEX($T$6:$T$105,MATCH(10,$W$6:$W$105,0)),"")</f>
        <v/>
      </c>
      <c r="M15" s="44">
        <f>IFERROR(INDEX($U$6:$U$105,MATCH(10,$W$6:$W$105,0)),"")</f>
        <v/>
      </c>
      <c r="N15" s="43">
        <f>IFERROR(INDEX($V$6:$V$105,MATCH(10,$W$6:$W$105,0)),"")</f>
        <v/>
      </c>
      <c r="P15">
        <f>IF(B15="","",B15)</f>
        <v/>
      </c>
      <c r="Q15">
        <f>IF(C15="","",C15)</f>
        <v/>
      </c>
      <c r="R15">
        <f>IF(B15="","",SUMIF($B$6:$B$305,B15,$D$6:$D$305))</f>
        <v/>
      </c>
      <c r="S15">
        <f>IF(OR(B15="",COUNTIF($B$6:$B15,B15)&gt;1),"",SUMPRODUCT((COUNTIF($B$5:B15,$B$6:$B$305)=1)*($R$6:$R$305&gt;R15)*($B$6:$B$305&lt;&gt;""))+1)</f>
        <v/>
      </c>
      <c r="T15">
        <f>IF(Participants!B14="","",Participants!B14)</f>
        <v/>
      </c>
      <c r="U15">
        <f>IF(Participants!C14="","",Participants!C14)</f>
        <v/>
      </c>
      <c r="V15">
        <f>IF(U15="","",IFERROR(SUMIF($B$6:$B$305,U15,$D$6:$D$305),0))</f>
        <v/>
      </c>
      <c r="W15">
        <f>IF(T15="","",COUNTIFS($V$6:$V$105,"&gt;"&amp;V15,$T$6:$T$105,"&lt;&gt;")+COUNTIFS($V$6:$V15,"="&amp;V15,$T$6:$T15,"&lt;&gt;"))</f>
        <v/>
      </c>
    </row>
    <row r="16">
      <c r="A16" s="43" t="n"/>
      <c r="B16" s="56" t="n"/>
      <c r="C16" s="56" t="n"/>
      <c r="D16" s="43" t="n"/>
      <c r="F16" s="43" t="n">
        <v>11</v>
      </c>
      <c r="G16" s="44">
        <f>IFERROR(INDEX($P$6:$P$305,MATCH(11,$S$6:$S$305,0)),"")</f>
        <v/>
      </c>
      <c r="H16" s="44">
        <f>IFERROR(INDEX($Q$6:$Q$305,MATCH(11,$S$6:$S$305,0)),"")</f>
        <v/>
      </c>
      <c r="I16" s="43">
        <f>IFERROR(INDEX($R$6:$R$305,MATCH(11,$S$6:$S$305,0)),"")</f>
        <v/>
      </c>
      <c r="K16" s="43" t="n">
        <v>11</v>
      </c>
      <c r="L16" s="44">
        <f>IFERROR(INDEX($T$6:$T$105,MATCH(11,$W$6:$W$105,0)),"")</f>
        <v/>
      </c>
      <c r="M16" s="44">
        <f>IFERROR(INDEX($U$6:$U$105,MATCH(11,$W$6:$W$105,0)),"")</f>
        <v/>
      </c>
      <c r="N16" s="43">
        <f>IFERROR(INDEX($V$6:$V$105,MATCH(11,$W$6:$W$105,0)),"")</f>
        <v/>
      </c>
      <c r="P16">
        <f>IF(B16="","",B16)</f>
        <v/>
      </c>
      <c r="Q16">
        <f>IF(C16="","",C16)</f>
        <v/>
      </c>
      <c r="R16">
        <f>IF(B16="","",SUMIF($B$6:$B$305,B16,$D$6:$D$305))</f>
        <v/>
      </c>
      <c r="S16">
        <f>IF(OR(B16="",COUNTIF($B$6:$B16,B16)&gt;1),"",SUMPRODUCT((COUNTIF($B$5:B16,$B$6:$B$305)=1)*($R$6:$R$305&gt;R16)*($B$6:$B$305&lt;&gt;""))+1)</f>
        <v/>
      </c>
      <c r="T16">
        <f>IF(Participants!B15="","",Participants!B15)</f>
        <v/>
      </c>
      <c r="U16">
        <f>IF(Participants!C15="","",Participants!C15)</f>
        <v/>
      </c>
      <c r="V16">
        <f>IF(U16="","",IFERROR(SUMIF($B$6:$B$305,U16,$D$6:$D$305),0))</f>
        <v/>
      </c>
      <c r="W16">
        <f>IF(T16="","",COUNTIFS($V$6:$V$105,"&gt;"&amp;V16,$T$6:$T$105,"&lt;&gt;")+COUNTIFS($V$6:$V16,"="&amp;V16,$T$6:$T16,"&lt;&gt;"))</f>
        <v/>
      </c>
    </row>
    <row r="17">
      <c r="A17" s="43" t="n"/>
      <c r="B17" s="56" t="n"/>
      <c r="C17" s="56" t="n"/>
      <c r="D17" s="43" t="n"/>
      <c r="F17" s="43" t="n">
        <v>12</v>
      </c>
      <c r="G17" s="44">
        <f>IFERROR(INDEX($P$6:$P$305,MATCH(12,$S$6:$S$305,0)),"")</f>
        <v/>
      </c>
      <c r="H17" s="44">
        <f>IFERROR(INDEX($Q$6:$Q$305,MATCH(12,$S$6:$S$305,0)),"")</f>
        <v/>
      </c>
      <c r="I17" s="43">
        <f>IFERROR(INDEX($R$6:$R$305,MATCH(12,$S$6:$S$305,0)),"")</f>
        <v/>
      </c>
      <c r="K17" s="43" t="n">
        <v>12</v>
      </c>
      <c r="L17" s="44">
        <f>IFERROR(INDEX($T$6:$T$105,MATCH(12,$W$6:$W$105,0)),"")</f>
        <v/>
      </c>
      <c r="M17" s="44">
        <f>IFERROR(INDEX($U$6:$U$105,MATCH(12,$W$6:$W$105,0)),"")</f>
        <v/>
      </c>
      <c r="N17" s="43">
        <f>IFERROR(INDEX($V$6:$V$105,MATCH(12,$W$6:$W$105,0)),"")</f>
        <v/>
      </c>
      <c r="P17">
        <f>IF(B17="","",B17)</f>
        <v/>
      </c>
      <c r="Q17">
        <f>IF(C17="","",C17)</f>
        <v/>
      </c>
      <c r="R17">
        <f>IF(B17="","",SUMIF($B$6:$B$305,B17,$D$6:$D$305))</f>
        <v/>
      </c>
      <c r="S17">
        <f>IF(OR(B17="",COUNTIF($B$6:$B17,B17)&gt;1),"",SUMPRODUCT((COUNTIF($B$5:B17,$B$6:$B$305)=1)*($R$6:$R$305&gt;R17)*($B$6:$B$305&lt;&gt;""))+1)</f>
        <v/>
      </c>
      <c r="T17">
        <f>IF(Participants!B16="","",Participants!B16)</f>
        <v/>
      </c>
      <c r="U17">
        <f>IF(Participants!C16="","",Participants!C16)</f>
        <v/>
      </c>
      <c r="V17">
        <f>IF(U17="","",IFERROR(SUMIF($B$6:$B$305,U17,$D$6:$D$305),0))</f>
        <v/>
      </c>
      <c r="W17">
        <f>IF(T17="","",COUNTIFS($V$6:$V$105,"&gt;"&amp;V17,$T$6:$T$105,"&lt;&gt;")+COUNTIFS($V$6:$V17,"="&amp;V17,$T$6:$T17,"&lt;&gt;"))</f>
        <v/>
      </c>
    </row>
    <row r="18">
      <c r="A18" s="43" t="n"/>
      <c r="B18" s="56" t="n"/>
      <c r="C18" s="56" t="n"/>
      <c r="D18" s="43" t="n"/>
      <c r="F18" s="43" t="n">
        <v>13</v>
      </c>
      <c r="G18" s="44">
        <f>IFERROR(INDEX($P$6:$P$305,MATCH(13,$S$6:$S$305,0)),"")</f>
        <v/>
      </c>
      <c r="H18" s="44">
        <f>IFERROR(INDEX($Q$6:$Q$305,MATCH(13,$S$6:$S$305,0)),"")</f>
        <v/>
      </c>
      <c r="I18" s="43">
        <f>IFERROR(INDEX($R$6:$R$305,MATCH(13,$S$6:$S$305,0)),"")</f>
        <v/>
      </c>
      <c r="K18" s="43" t="n">
        <v>13</v>
      </c>
      <c r="L18" s="44">
        <f>IFERROR(INDEX($T$6:$T$105,MATCH(13,$W$6:$W$105,0)),"")</f>
        <v/>
      </c>
      <c r="M18" s="44">
        <f>IFERROR(INDEX($U$6:$U$105,MATCH(13,$W$6:$W$105,0)),"")</f>
        <v/>
      </c>
      <c r="N18" s="43">
        <f>IFERROR(INDEX($V$6:$V$105,MATCH(13,$W$6:$W$105,0)),"")</f>
        <v/>
      </c>
      <c r="P18">
        <f>IF(B18="","",B18)</f>
        <v/>
      </c>
      <c r="Q18">
        <f>IF(C18="","",C18)</f>
        <v/>
      </c>
      <c r="R18">
        <f>IF(B18="","",SUMIF($B$6:$B$305,B18,$D$6:$D$305))</f>
        <v/>
      </c>
      <c r="S18">
        <f>IF(OR(B18="",COUNTIF($B$6:$B18,B18)&gt;1),"",SUMPRODUCT((COUNTIF($B$5:B18,$B$6:$B$305)=1)*($R$6:$R$305&gt;R18)*($B$6:$B$305&lt;&gt;""))+1)</f>
        <v/>
      </c>
      <c r="T18">
        <f>IF(Participants!B17="","",Participants!B17)</f>
        <v/>
      </c>
      <c r="U18">
        <f>IF(Participants!C17="","",Participants!C17)</f>
        <v/>
      </c>
      <c r="V18">
        <f>IF(U18="","",IFERROR(SUMIF($B$6:$B$305,U18,$D$6:$D$305),0))</f>
        <v/>
      </c>
      <c r="W18">
        <f>IF(T18="","",COUNTIFS($V$6:$V$105,"&gt;"&amp;V18,$T$6:$T$105,"&lt;&gt;")+COUNTIFS($V$6:$V18,"="&amp;V18,$T$6:$T18,"&lt;&gt;"))</f>
        <v/>
      </c>
    </row>
    <row r="19">
      <c r="A19" s="43" t="n"/>
      <c r="B19" s="56" t="n"/>
      <c r="C19" s="56" t="n"/>
      <c r="D19" s="43" t="n"/>
      <c r="F19" s="43" t="n">
        <v>14</v>
      </c>
      <c r="G19" s="44">
        <f>IFERROR(INDEX($P$6:$P$305,MATCH(14,$S$6:$S$305,0)),"")</f>
        <v/>
      </c>
      <c r="H19" s="44">
        <f>IFERROR(INDEX($Q$6:$Q$305,MATCH(14,$S$6:$S$305,0)),"")</f>
        <v/>
      </c>
      <c r="I19" s="43">
        <f>IFERROR(INDEX($R$6:$R$305,MATCH(14,$S$6:$S$305,0)),"")</f>
        <v/>
      </c>
      <c r="K19" s="43" t="n">
        <v>14</v>
      </c>
      <c r="L19" s="44">
        <f>IFERROR(INDEX($T$6:$T$105,MATCH(14,$W$6:$W$105,0)),"")</f>
        <v/>
      </c>
      <c r="M19" s="44">
        <f>IFERROR(INDEX($U$6:$U$105,MATCH(14,$W$6:$W$105,0)),"")</f>
        <v/>
      </c>
      <c r="N19" s="43">
        <f>IFERROR(INDEX($V$6:$V$105,MATCH(14,$W$6:$W$105,0)),"")</f>
        <v/>
      </c>
      <c r="P19">
        <f>IF(B19="","",B19)</f>
        <v/>
      </c>
      <c r="Q19">
        <f>IF(C19="","",C19)</f>
        <v/>
      </c>
      <c r="R19">
        <f>IF(B19="","",SUMIF($B$6:$B$305,B19,$D$6:$D$305))</f>
        <v/>
      </c>
      <c r="S19">
        <f>IF(OR(B19="",COUNTIF($B$6:$B19,B19)&gt;1),"",SUMPRODUCT((COUNTIF($B$5:B19,$B$6:$B$305)=1)*($R$6:$R$305&gt;R19)*($B$6:$B$305&lt;&gt;""))+1)</f>
        <v/>
      </c>
      <c r="T19">
        <f>IF(Participants!B18="","",Participants!B18)</f>
        <v/>
      </c>
      <c r="U19">
        <f>IF(Participants!C18="","",Participants!C18)</f>
        <v/>
      </c>
      <c r="V19">
        <f>IF(U19="","",IFERROR(SUMIF($B$6:$B$305,U19,$D$6:$D$305),0))</f>
        <v/>
      </c>
      <c r="W19">
        <f>IF(T19="","",COUNTIFS($V$6:$V$105,"&gt;"&amp;V19,$T$6:$T$105,"&lt;&gt;")+COUNTIFS($V$6:$V19,"="&amp;V19,$T$6:$T19,"&lt;&gt;"))</f>
        <v/>
      </c>
    </row>
    <row r="20">
      <c r="A20" s="43" t="n"/>
      <c r="B20" s="56" t="n"/>
      <c r="C20" s="56" t="n"/>
      <c r="D20" s="43" t="n"/>
      <c r="F20" s="43" t="n">
        <v>15</v>
      </c>
      <c r="G20" s="44">
        <f>IFERROR(INDEX($P$6:$P$305,MATCH(15,$S$6:$S$305,0)),"")</f>
        <v/>
      </c>
      <c r="H20" s="44">
        <f>IFERROR(INDEX($Q$6:$Q$305,MATCH(15,$S$6:$S$305,0)),"")</f>
        <v/>
      </c>
      <c r="I20" s="43">
        <f>IFERROR(INDEX($R$6:$R$305,MATCH(15,$S$6:$S$305,0)),"")</f>
        <v/>
      </c>
      <c r="K20" s="43" t="n">
        <v>15</v>
      </c>
      <c r="L20" s="44">
        <f>IFERROR(INDEX($T$6:$T$105,MATCH(15,$W$6:$W$105,0)),"")</f>
        <v/>
      </c>
      <c r="M20" s="44">
        <f>IFERROR(INDEX($U$6:$U$105,MATCH(15,$W$6:$W$105,0)),"")</f>
        <v/>
      </c>
      <c r="N20" s="43">
        <f>IFERROR(INDEX($V$6:$V$105,MATCH(15,$W$6:$W$105,0)),"")</f>
        <v/>
      </c>
      <c r="P20">
        <f>IF(B20="","",B20)</f>
        <v/>
      </c>
      <c r="Q20">
        <f>IF(C20="","",C20)</f>
        <v/>
      </c>
      <c r="R20">
        <f>IF(B20="","",SUMIF($B$6:$B$305,B20,$D$6:$D$305))</f>
        <v/>
      </c>
      <c r="S20">
        <f>IF(OR(B20="",COUNTIF($B$6:$B20,B20)&gt;1),"",SUMPRODUCT((COUNTIF($B$5:B20,$B$6:$B$305)=1)*($R$6:$R$305&gt;R20)*($B$6:$B$305&lt;&gt;""))+1)</f>
        <v/>
      </c>
      <c r="T20">
        <f>IF(Participants!B19="","",Participants!B19)</f>
        <v/>
      </c>
      <c r="U20">
        <f>IF(Participants!C19="","",Participants!C19)</f>
        <v/>
      </c>
      <c r="V20">
        <f>IF(U20="","",IFERROR(SUMIF($B$6:$B$305,U20,$D$6:$D$305),0))</f>
        <v/>
      </c>
      <c r="W20">
        <f>IF(T20="","",COUNTIFS($V$6:$V$105,"&gt;"&amp;V20,$T$6:$T$105,"&lt;&gt;")+COUNTIFS($V$6:$V20,"="&amp;V20,$T$6:$T20,"&lt;&gt;"))</f>
        <v/>
      </c>
    </row>
    <row r="21">
      <c r="A21" s="43" t="n"/>
      <c r="B21" s="56" t="n"/>
      <c r="C21" s="56" t="n"/>
      <c r="D21" s="43" t="n"/>
      <c r="F21" s="43" t="n">
        <v>16</v>
      </c>
      <c r="G21" s="44">
        <f>IFERROR(INDEX($P$6:$P$305,MATCH(16,$S$6:$S$305,0)),"")</f>
        <v/>
      </c>
      <c r="H21" s="44">
        <f>IFERROR(INDEX($Q$6:$Q$305,MATCH(16,$S$6:$S$305,0)),"")</f>
        <v/>
      </c>
      <c r="I21" s="43">
        <f>IFERROR(INDEX($R$6:$R$305,MATCH(16,$S$6:$S$305,0)),"")</f>
        <v/>
      </c>
      <c r="K21" s="43" t="n">
        <v>16</v>
      </c>
      <c r="L21" s="44">
        <f>IFERROR(INDEX($T$6:$T$105,MATCH(16,$W$6:$W$105,0)),"")</f>
        <v/>
      </c>
      <c r="M21" s="44">
        <f>IFERROR(INDEX($U$6:$U$105,MATCH(16,$W$6:$W$105,0)),"")</f>
        <v/>
      </c>
      <c r="N21" s="43">
        <f>IFERROR(INDEX($V$6:$V$105,MATCH(16,$W$6:$W$105,0)),"")</f>
        <v/>
      </c>
      <c r="P21">
        <f>IF(B21="","",B21)</f>
        <v/>
      </c>
      <c r="Q21">
        <f>IF(C21="","",C21)</f>
        <v/>
      </c>
      <c r="R21">
        <f>IF(B21="","",SUMIF($B$6:$B$305,B21,$D$6:$D$305))</f>
        <v/>
      </c>
      <c r="S21">
        <f>IF(OR(B21="",COUNTIF($B$6:$B21,B21)&gt;1),"",SUMPRODUCT((COUNTIF($B$5:B21,$B$6:$B$305)=1)*($R$6:$R$305&gt;R21)*($B$6:$B$305&lt;&gt;""))+1)</f>
        <v/>
      </c>
      <c r="T21">
        <f>IF(Participants!B20="","",Participants!B20)</f>
        <v/>
      </c>
      <c r="U21">
        <f>IF(Participants!C20="","",Participants!C20)</f>
        <v/>
      </c>
      <c r="V21">
        <f>IF(U21="","",IFERROR(SUMIF($B$6:$B$305,U21,$D$6:$D$305),0))</f>
        <v/>
      </c>
      <c r="W21">
        <f>IF(T21="","",COUNTIFS($V$6:$V$105,"&gt;"&amp;V21,$T$6:$T$105,"&lt;&gt;")+COUNTIFS($V$6:$V21,"="&amp;V21,$T$6:$T21,"&lt;&gt;"))</f>
        <v/>
      </c>
    </row>
    <row r="22">
      <c r="A22" s="43" t="n"/>
      <c r="B22" s="56" t="n"/>
      <c r="C22" s="56" t="n"/>
      <c r="D22" s="43" t="n"/>
      <c r="F22" s="43" t="n">
        <v>17</v>
      </c>
      <c r="G22" s="44">
        <f>IFERROR(INDEX($P$6:$P$305,MATCH(17,$S$6:$S$305,0)),"")</f>
        <v/>
      </c>
      <c r="H22" s="44">
        <f>IFERROR(INDEX($Q$6:$Q$305,MATCH(17,$S$6:$S$305,0)),"")</f>
        <v/>
      </c>
      <c r="I22" s="43">
        <f>IFERROR(INDEX($R$6:$R$305,MATCH(17,$S$6:$S$305,0)),"")</f>
        <v/>
      </c>
      <c r="K22" s="43" t="n">
        <v>17</v>
      </c>
      <c r="L22" s="44">
        <f>IFERROR(INDEX($T$6:$T$105,MATCH(17,$W$6:$W$105,0)),"")</f>
        <v/>
      </c>
      <c r="M22" s="44">
        <f>IFERROR(INDEX($U$6:$U$105,MATCH(17,$W$6:$W$105,0)),"")</f>
        <v/>
      </c>
      <c r="N22" s="43">
        <f>IFERROR(INDEX($V$6:$V$105,MATCH(17,$W$6:$W$105,0)),"")</f>
        <v/>
      </c>
      <c r="P22">
        <f>IF(B22="","",B22)</f>
        <v/>
      </c>
      <c r="Q22">
        <f>IF(C22="","",C22)</f>
        <v/>
      </c>
      <c r="R22">
        <f>IF(B22="","",SUMIF($B$6:$B$305,B22,$D$6:$D$305))</f>
        <v/>
      </c>
      <c r="S22">
        <f>IF(OR(B22="",COUNTIF($B$6:$B22,B22)&gt;1),"",SUMPRODUCT((COUNTIF($B$5:B22,$B$6:$B$305)=1)*($R$6:$R$305&gt;R22)*($B$6:$B$305&lt;&gt;""))+1)</f>
        <v/>
      </c>
      <c r="T22">
        <f>IF(Participants!B21="","",Participants!B21)</f>
        <v/>
      </c>
      <c r="U22">
        <f>IF(Participants!C21="","",Participants!C21)</f>
        <v/>
      </c>
      <c r="V22">
        <f>IF(U22="","",IFERROR(SUMIF($B$6:$B$305,U22,$D$6:$D$305),0))</f>
        <v/>
      </c>
      <c r="W22">
        <f>IF(T22="","",COUNTIFS($V$6:$V$105,"&gt;"&amp;V22,$T$6:$T$105,"&lt;&gt;")+COUNTIFS($V$6:$V22,"="&amp;V22,$T$6:$T22,"&lt;&gt;"))</f>
        <v/>
      </c>
    </row>
    <row r="23">
      <c r="A23" s="43" t="n"/>
      <c r="B23" s="56" t="n"/>
      <c r="C23" s="56" t="n"/>
      <c r="D23" s="43" t="n"/>
      <c r="F23" s="43" t="n">
        <v>18</v>
      </c>
      <c r="G23" s="44">
        <f>IFERROR(INDEX($P$6:$P$305,MATCH(18,$S$6:$S$305,0)),"")</f>
        <v/>
      </c>
      <c r="H23" s="44">
        <f>IFERROR(INDEX($Q$6:$Q$305,MATCH(18,$S$6:$S$305,0)),"")</f>
        <v/>
      </c>
      <c r="I23" s="43">
        <f>IFERROR(INDEX($R$6:$R$305,MATCH(18,$S$6:$S$305,0)),"")</f>
        <v/>
      </c>
      <c r="K23" s="43" t="n">
        <v>18</v>
      </c>
      <c r="L23" s="44">
        <f>IFERROR(INDEX($T$6:$T$105,MATCH(18,$W$6:$W$105,0)),"")</f>
        <v/>
      </c>
      <c r="M23" s="44">
        <f>IFERROR(INDEX($U$6:$U$105,MATCH(18,$W$6:$W$105,0)),"")</f>
        <v/>
      </c>
      <c r="N23" s="43">
        <f>IFERROR(INDEX($V$6:$V$105,MATCH(18,$W$6:$W$105,0)),"")</f>
        <v/>
      </c>
      <c r="P23">
        <f>IF(B23="","",B23)</f>
        <v/>
      </c>
      <c r="Q23">
        <f>IF(C23="","",C23)</f>
        <v/>
      </c>
      <c r="R23">
        <f>IF(B23="","",SUMIF($B$6:$B$305,B23,$D$6:$D$305))</f>
        <v/>
      </c>
      <c r="S23">
        <f>IF(OR(B23="",COUNTIF($B$6:$B23,B23)&gt;1),"",SUMPRODUCT((COUNTIF($B$5:B23,$B$6:$B$305)=1)*($R$6:$R$305&gt;R23)*($B$6:$B$305&lt;&gt;""))+1)</f>
        <v/>
      </c>
      <c r="T23">
        <f>IF(Participants!B22="","",Participants!B22)</f>
        <v/>
      </c>
      <c r="U23">
        <f>IF(Participants!C22="","",Participants!C22)</f>
        <v/>
      </c>
      <c r="V23">
        <f>IF(U23="","",IFERROR(SUMIF($B$6:$B$305,U23,$D$6:$D$305),0))</f>
        <v/>
      </c>
      <c r="W23">
        <f>IF(T23="","",COUNTIFS($V$6:$V$105,"&gt;"&amp;V23,$T$6:$T$105,"&lt;&gt;")+COUNTIFS($V$6:$V23,"="&amp;V23,$T$6:$T23,"&lt;&gt;"))</f>
        <v/>
      </c>
    </row>
    <row r="24">
      <c r="A24" s="43" t="n"/>
      <c r="B24" s="56" t="n"/>
      <c r="C24" s="56" t="n"/>
      <c r="D24" s="43" t="n"/>
      <c r="F24" s="43" t="n">
        <v>19</v>
      </c>
      <c r="G24" s="44">
        <f>IFERROR(INDEX($P$6:$P$305,MATCH(19,$S$6:$S$305,0)),"")</f>
        <v/>
      </c>
      <c r="H24" s="44">
        <f>IFERROR(INDEX($Q$6:$Q$305,MATCH(19,$S$6:$S$305,0)),"")</f>
        <v/>
      </c>
      <c r="I24" s="43">
        <f>IFERROR(INDEX($R$6:$R$305,MATCH(19,$S$6:$S$305,0)),"")</f>
        <v/>
      </c>
      <c r="K24" s="43" t="n">
        <v>19</v>
      </c>
      <c r="L24" s="44">
        <f>IFERROR(INDEX($T$6:$T$105,MATCH(19,$W$6:$W$105,0)),"")</f>
        <v/>
      </c>
      <c r="M24" s="44">
        <f>IFERROR(INDEX($U$6:$U$105,MATCH(19,$W$6:$W$105,0)),"")</f>
        <v/>
      </c>
      <c r="N24" s="43">
        <f>IFERROR(INDEX($V$6:$V$105,MATCH(19,$W$6:$W$105,0)),"")</f>
        <v/>
      </c>
      <c r="P24">
        <f>IF(B24="","",B24)</f>
        <v/>
      </c>
      <c r="Q24">
        <f>IF(C24="","",C24)</f>
        <v/>
      </c>
      <c r="R24">
        <f>IF(B24="","",SUMIF($B$6:$B$305,B24,$D$6:$D$305))</f>
        <v/>
      </c>
      <c r="S24">
        <f>IF(OR(B24="",COUNTIF($B$6:$B24,B24)&gt;1),"",SUMPRODUCT((COUNTIF($B$5:B24,$B$6:$B$305)=1)*($R$6:$R$305&gt;R24)*($B$6:$B$305&lt;&gt;""))+1)</f>
        <v/>
      </c>
      <c r="T24">
        <f>IF(Participants!B23="","",Participants!B23)</f>
        <v/>
      </c>
      <c r="U24">
        <f>IF(Participants!C23="","",Participants!C23)</f>
        <v/>
      </c>
      <c r="V24">
        <f>IF(U24="","",IFERROR(SUMIF($B$6:$B$305,U24,$D$6:$D$305),0))</f>
        <v/>
      </c>
      <c r="W24">
        <f>IF(T24="","",COUNTIFS($V$6:$V$105,"&gt;"&amp;V24,$T$6:$T$105,"&lt;&gt;")+COUNTIFS($V$6:$V24,"="&amp;V24,$T$6:$T24,"&lt;&gt;"))</f>
        <v/>
      </c>
    </row>
    <row r="25">
      <c r="A25" s="43" t="n"/>
      <c r="B25" s="56" t="n"/>
      <c r="C25" s="56" t="n"/>
      <c r="D25" s="43" t="n"/>
      <c r="F25" s="43" t="n">
        <v>20</v>
      </c>
      <c r="G25" s="44">
        <f>IFERROR(INDEX($P$6:$P$305,MATCH(20,$S$6:$S$305,0)),"")</f>
        <v/>
      </c>
      <c r="H25" s="44">
        <f>IFERROR(INDEX($Q$6:$Q$305,MATCH(20,$S$6:$S$305,0)),"")</f>
        <v/>
      </c>
      <c r="I25" s="43">
        <f>IFERROR(INDEX($R$6:$R$305,MATCH(20,$S$6:$S$305,0)),"")</f>
        <v/>
      </c>
      <c r="K25" s="43" t="n">
        <v>20</v>
      </c>
      <c r="L25" s="44">
        <f>IFERROR(INDEX($T$6:$T$105,MATCH(20,$W$6:$W$105,0)),"")</f>
        <v/>
      </c>
      <c r="M25" s="44">
        <f>IFERROR(INDEX($U$6:$U$105,MATCH(20,$W$6:$W$105,0)),"")</f>
        <v/>
      </c>
      <c r="N25" s="43">
        <f>IFERROR(INDEX($V$6:$V$105,MATCH(20,$W$6:$W$105,0)),"")</f>
        <v/>
      </c>
      <c r="P25">
        <f>IF(B25="","",B25)</f>
        <v/>
      </c>
      <c r="Q25">
        <f>IF(C25="","",C25)</f>
        <v/>
      </c>
      <c r="R25">
        <f>IF(B25="","",SUMIF($B$6:$B$305,B25,$D$6:$D$305))</f>
        <v/>
      </c>
      <c r="S25">
        <f>IF(OR(B25="",COUNTIF($B$6:$B25,B25)&gt;1),"",SUMPRODUCT((COUNTIF($B$5:B25,$B$6:$B$305)=1)*($R$6:$R$305&gt;R25)*($B$6:$B$305&lt;&gt;""))+1)</f>
        <v/>
      </c>
      <c r="T25">
        <f>IF(Participants!B24="","",Participants!B24)</f>
        <v/>
      </c>
      <c r="U25">
        <f>IF(Participants!C24="","",Participants!C24)</f>
        <v/>
      </c>
      <c r="V25">
        <f>IF(U25="","",IFERROR(SUMIF($B$6:$B$305,U25,$D$6:$D$305),0))</f>
        <v/>
      </c>
      <c r="W25">
        <f>IF(T25="","",COUNTIFS($V$6:$V$105,"&gt;"&amp;V25,$T$6:$T$105,"&lt;&gt;")+COUNTIFS($V$6:$V25,"="&amp;V25,$T$6:$T25,"&lt;&gt;"))</f>
        <v/>
      </c>
    </row>
    <row r="26">
      <c r="A26" s="43" t="n"/>
      <c r="B26" s="56" t="n"/>
      <c r="C26" s="56" t="n"/>
      <c r="D26" s="43" t="n"/>
      <c r="F26" s="43" t="n">
        <v>21</v>
      </c>
      <c r="G26" s="44">
        <f>IFERROR(INDEX($P$6:$P$305,MATCH(21,$S$6:$S$305,0)),"")</f>
        <v/>
      </c>
      <c r="H26" s="44">
        <f>IFERROR(INDEX($Q$6:$Q$305,MATCH(21,$S$6:$S$305,0)),"")</f>
        <v/>
      </c>
      <c r="I26" s="43">
        <f>IFERROR(INDEX($R$6:$R$305,MATCH(21,$S$6:$S$305,0)),"")</f>
        <v/>
      </c>
      <c r="K26" s="43" t="n">
        <v>21</v>
      </c>
      <c r="L26" s="44">
        <f>IFERROR(INDEX($T$6:$T$105,MATCH(21,$W$6:$W$105,0)),"")</f>
        <v/>
      </c>
      <c r="M26" s="44">
        <f>IFERROR(INDEX($U$6:$U$105,MATCH(21,$W$6:$W$105,0)),"")</f>
        <v/>
      </c>
      <c r="N26" s="43">
        <f>IFERROR(INDEX($V$6:$V$105,MATCH(21,$W$6:$W$105,0)),"")</f>
        <v/>
      </c>
      <c r="P26">
        <f>IF(B26="","",B26)</f>
        <v/>
      </c>
      <c r="Q26">
        <f>IF(C26="","",C26)</f>
        <v/>
      </c>
      <c r="R26">
        <f>IF(B26="","",SUMIF($B$6:$B$305,B26,$D$6:$D$305))</f>
        <v/>
      </c>
      <c r="S26">
        <f>IF(OR(B26="",COUNTIF($B$6:$B26,B26)&gt;1),"",SUMPRODUCT((COUNTIF($B$5:B26,$B$6:$B$305)=1)*($R$6:$R$305&gt;R26)*($B$6:$B$305&lt;&gt;""))+1)</f>
        <v/>
      </c>
      <c r="T26">
        <f>IF(Participants!B25="","",Participants!B25)</f>
        <v/>
      </c>
      <c r="U26">
        <f>IF(Participants!C25="","",Participants!C25)</f>
        <v/>
      </c>
      <c r="V26">
        <f>IF(U26="","",IFERROR(SUMIF($B$6:$B$305,U26,$D$6:$D$305),0))</f>
        <v/>
      </c>
      <c r="W26">
        <f>IF(T26="","",COUNTIFS($V$6:$V$105,"&gt;"&amp;V26,$T$6:$T$105,"&lt;&gt;")+COUNTIFS($V$6:$V26,"="&amp;V26,$T$6:$T26,"&lt;&gt;"))</f>
        <v/>
      </c>
    </row>
    <row r="27">
      <c r="A27" s="43" t="n"/>
      <c r="B27" s="56" t="n"/>
      <c r="C27" s="56" t="n"/>
      <c r="D27" s="43" t="n"/>
      <c r="F27" s="43" t="n">
        <v>22</v>
      </c>
      <c r="G27" s="44">
        <f>IFERROR(INDEX($P$6:$P$305,MATCH(22,$S$6:$S$305,0)),"")</f>
        <v/>
      </c>
      <c r="H27" s="44">
        <f>IFERROR(INDEX($Q$6:$Q$305,MATCH(22,$S$6:$S$305,0)),"")</f>
        <v/>
      </c>
      <c r="I27" s="43">
        <f>IFERROR(INDEX($R$6:$R$305,MATCH(22,$S$6:$S$305,0)),"")</f>
        <v/>
      </c>
      <c r="K27" s="43" t="n">
        <v>22</v>
      </c>
      <c r="L27" s="44">
        <f>IFERROR(INDEX($T$6:$T$105,MATCH(22,$W$6:$W$105,0)),"")</f>
        <v/>
      </c>
      <c r="M27" s="44">
        <f>IFERROR(INDEX($U$6:$U$105,MATCH(22,$W$6:$W$105,0)),"")</f>
        <v/>
      </c>
      <c r="N27" s="43">
        <f>IFERROR(INDEX($V$6:$V$105,MATCH(22,$W$6:$W$105,0)),"")</f>
        <v/>
      </c>
      <c r="P27">
        <f>IF(B27="","",B27)</f>
        <v/>
      </c>
      <c r="Q27">
        <f>IF(C27="","",C27)</f>
        <v/>
      </c>
      <c r="R27">
        <f>IF(B27="","",SUMIF($B$6:$B$305,B27,$D$6:$D$305))</f>
        <v/>
      </c>
      <c r="S27">
        <f>IF(OR(B27="",COUNTIF($B$6:$B27,B27)&gt;1),"",SUMPRODUCT((COUNTIF($B$5:B27,$B$6:$B$305)=1)*($R$6:$R$305&gt;R27)*($B$6:$B$305&lt;&gt;""))+1)</f>
        <v/>
      </c>
      <c r="T27">
        <f>IF(Participants!B26="","",Participants!B26)</f>
        <v/>
      </c>
      <c r="U27">
        <f>IF(Participants!C26="","",Participants!C26)</f>
        <v/>
      </c>
      <c r="V27">
        <f>IF(U27="","",IFERROR(SUMIF($B$6:$B$305,U27,$D$6:$D$305),0))</f>
        <v/>
      </c>
      <c r="W27">
        <f>IF(T27="","",COUNTIFS($V$6:$V$105,"&gt;"&amp;V27,$T$6:$T$105,"&lt;&gt;")+COUNTIFS($V$6:$V27,"="&amp;V27,$T$6:$T27,"&lt;&gt;"))</f>
        <v/>
      </c>
    </row>
    <row r="28">
      <c r="A28" s="43" t="n"/>
      <c r="B28" s="56" t="n"/>
      <c r="C28" s="56" t="n"/>
      <c r="D28" s="43" t="n"/>
      <c r="F28" s="43" t="n">
        <v>23</v>
      </c>
      <c r="G28" s="44">
        <f>IFERROR(INDEX($P$6:$P$305,MATCH(23,$S$6:$S$305,0)),"")</f>
        <v/>
      </c>
      <c r="H28" s="44">
        <f>IFERROR(INDEX($Q$6:$Q$305,MATCH(23,$S$6:$S$305,0)),"")</f>
        <v/>
      </c>
      <c r="I28" s="43">
        <f>IFERROR(INDEX($R$6:$R$305,MATCH(23,$S$6:$S$305,0)),"")</f>
        <v/>
      </c>
      <c r="K28" s="43" t="n">
        <v>23</v>
      </c>
      <c r="L28" s="44">
        <f>IFERROR(INDEX($T$6:$T$105,MATCH(23,$W$6:$W$105,0)),"")</f>
        <v/>
      </c>
      <c r="M28" s="44">
        <f>IFERROR(INDEX($U$6:$U$105,MATCH(23,$W$6:$W$105,0)),"")</f>
        <v/>
      </c>
      <c r="N28" s="43">
        <f>IFERROR(INDEX($V$6:$V$105,MATCH(23,$W$6:$W$105,0)),"")</f>
        <v/>
      </c>
      <c r="P28">
        <f>IF(B28="","",B28)</f>
        <v/>
      </c>
      <c r="Q28">
        <f>IF(C28="","",C28)</f>
        <v/>
      </c>
      <c r="R28">
        <f>IF(B28="","",SUMIF($B$6:$B$305,B28,$D$6:$D$305))</f>
        <v/>
      </c>
      <c r="S28">
        <f>IF(OR(B28="",COUNTIF($B$6:$B28,B28)&gt;1),"",SUMPRODUCT((COUNTIF($B$5:B28,$B$6:$B$305)=1)*($R$6:$R$305&gt;R28)*($B$6:$B$305&lt;&gt;""))+1)</f>
        <v/>
      </c>
      <c r="T28">
        <f>IF(Participants!B27="","",Participants!B27)</f>
        <v/>
      </c>
      <c r="U28">
        <f>IF(Participants!C27="","",Participants!C27)</f>
        <v/>
      </c>
      <c r="V28">
        <f>IF(U28="","",IFERROR(SUMIF($B$6:$B$305,U28,$D$6:$D$305),0))</f>
        <v/>
      </c>
      <c r="W28">
        <f>IF(T28="","",COUNTIFS($V$6:$V$105,"&gt;"&amp;V28,$T$6:$T$105,"&lt;&gt;")+COUNTIFS($V$6:$V28,"="&amp;V28,$T$6:$T28,"&lt;&gt;"))</f>
        <v/>
      </c>
    </row>
    <row r="29">
      <c r="A29" s="43" t="n"/>
      <c r="B29" s="56" t="n"/>
      <c r="C29" s="56" t="n"/>
      <c r="D29" s="43" t="n"/>
      <c r="F29" s="43" t="n">
        <v>24</v>
      </c>
      <c r="G29" s="44">
        <f>IFERROR(INDEX($P$6:$P$305,MATCH(24,$S$6:$S$305,0)),"")</f>
        <v/>
      </c>
      <c r="H29" s="44">
        <f>IFERROR(INDEX($Q$6:$Q$305,MATCH(24,$S$6:$S$305,0)),"")</f>
        <v/>
      </c>
      <c r="I29" s="43">
        <f>IFERROR(INDEX($R$6:$R$305,MATCH(24,$S$6:$S$305,0)),"")</f>
        <v/>
      </c>
      <c r="K29" s="43" t="n">
        <v>24</v>
      </c>
      <c r="L29" s="44">
        <f>IFERROR(INDEX($T$6:$T$105,MATCH(24,$W$6:$W$105,0)),"")</f>
        <v/>
      </c>
      <c r="M29" s="44">
        <f>IFERROR(INDEX($U$6:$U$105,MATCH(24,$W$6:$W$105,0)),"")</f>
        <v/>
      </c>
      <c r="N29" s="43">
        <f>IFERROR(INDEX($V$6:$V$105,MATCH(24,$W$6:$W$105,0)),"")</f>
        <v/>
      </c>
      <c r="P29">
        <f>IF(B29="","",B29)</f>
        <v/>
      </c>
      <c r="Q29">
        <f>IF(C29="","",C29)</f>
        <v/>
      </c>
      <c r="R29">
        <f>IF(B29="","",SUMIF($B$6:$B$305,B29,$D$6:$D$305))</f>
        <v/>
      </c>
      <c r="S29">
        <f>IF(OR(B29="",COUNTIF($B$6:$B29,B29)&gt;1),"",SUMPRODUCT((COUNTIF($B$5:B29,$B$6:$B$305)=1)*($R$6:$R$305&gt;R29)*($B$6:$B$305&lt;&gt;""))+1)</f>
        <v/>
      </c>
      <c r="T29">
        <f>IF(Participants!B28="","",Participants!B28)</f>
        <v/>
      </c>
      <c r="U29">
        <f>IF(Participants!C28="","",Participants!C28)</f>
        <v/>
      </c>
      <c r="V29">
        <f>IF(U29="","",IFERROR(SUMIF($B$6:$B$305,U29,$D$6:$D$305),0))</f>
        <v/>
      </c>
      <c r="W29">
        <f>IF(T29="","",COUNTIFS($V$6:$V$105,"&gt;"&amp;V29,$T$6:$T$105,"&lt;&gt;")+COUNTIFS($V$6:$V29,"="&amp;V29,$T$6:$T29,"&lt;&gt;"))</f>
        <v/>
      </c>
    </row>
    <row r="30">
      <c r="A30" s="43" t="n"/>
      <c r="B30" s="56" t="n"/>
      <c r="C30" s="56" t="n"/>
      <c r="D30" s="43" t="n"/>
      <c r="F30" s="43" t="n">
        <v>25</v>
      </c>
      <c r="G30" s="44">
        <f>IFERROR(INDEX($P$6:$P$305,MATCH(25,$S$6:$S$305,0)),"")</f>
        <v/>
      </c>
      <c r="H30" s="44">
        <f>IFERROR(INDEX($Q$6:$Q$305,MATCH(25,$S$6:$S$305,0)),"")</f>
        <v/>
      </c>
      <c r="I30" s="43">
        <f>IFERROR(INDEX($R$6:$R$305,MATCH(25,$S$6:$S$305,0)),"")</f>
        <v/>
      </c>
      <c r="K30" s="43" t="n">
        <v>25</v>
      </c>
      <c r="L30" s="44">
        <f>IFERROR(INDEX($T$6:$T$105,MATCH(25,$W$6:$W$105,0)),"")</f>
        <v/>
      </c>
      <c r="M30" s="44">
        <f>IFERROR(INDEX($U$6:$U$105,MATCH(25,$W$6:$W$105,0)),"")</f>
        <v/>
      </c>
      <c r="N30" s="43">
        <f>IFERROR(INDEX($V$6:$V$105,MATCH(25,$W$6:$W$105,0)),"")</f>
        <v/>
      </c>
      <c r="P30">
        <f>IF(B30="","",B30)</f>
        <v/>
      </c>
      <c r="Q30">
        <f>IF(C30="","",C30)</f>
        <v/>
      </c>
      <c r="R30">
        <f>IF(B30="","",SUMIF($B$6:$B$305,B30,$D$6:$D$305))</f>
        <v/>
      </c>
      <c r="S30">
        <f>IF(OR(B30="",COUNTIF($B$6:$B30,B30)&gt;1),"",SUMPRODUCT((COUNTIF($B$5:B30,$B$6:$B$305)=1)*($R$6:$R$305&gt;R30)*($B$6:$B$305&lt;&gt;""))+1)</f>
        <v/>
      </c>
      <c r="T30">
        <f>IF(Participants!B29="","",Participants!B29)</f>
        <v/>
      </c>
      <c r="U30">
        <f>IF(Participants!C29="","",Participants!C29)</f>
        <v/>
      </c>
      <c r="V30">
        <f>IF(U30="","",IFERROR(SUMIF($B$6:$B$305,U30,$D$6:$D$305),0))</f>
        <v/>
      </c>
      <c r="W30">
        <f>IF(T30="","",COUNTIFS($V$6:$V$105,"&gt;"&amp;V30,$T$6:$T$105,"&lt;&gt;")+COUNTIFS($V$6:$V30,"="&amp;V30,$T$6:$T30,"&lt;&gt;"))</f>
        <v/>
      </c>
    </row>
    <row r="31">
      <c r="A31" s="43" t="n"/>
      <c r="B31" s="56" t="n"/>
      <c r="C31" s="56" t="n"/>
      <c r="D31" s="43" t="n"/>
      <c r="F31" s="43" t="n">
        <v>26</v>
      </c>
      <c r="G31" s="44">
        <f>IFERROR(INDEX($P$6:$P$305,MATCH(26,$S$6:$S$305,0)),"")</f>
        <v/>
      </c>
      <c r="H31" s="44">
        <f>IFERROR(INDEX($Q$6:$Q$305,MATCH(26,$S$6:$S$305,0)),"")</f>
        <v/>
      </c>
      <c r="I31" s="43">
        <f>IFERROR(INDEX($R$6:$R$305,MATCH(26,$S$6:$S$305,0)),"")</f>
        <v/>
      </c>
      <c r="K31" s="43" t="n">
        <v>26</v>
      </c>
      <c r="L31" s="44">
        <f>IFERROR(INDEX($T$6:$T$105,MATCH(26,$W$6:$W$105,0)),"")</f>
        <v/>
      </c>
      <c r="M31" s="44">
        <f>IFERROR(INDEX($U$6:$U$105,MATCH(26,$W$6:$W$105,0)),"")</f>
        <v/>
      </c>
      <c r="N31" s="43">
        <f>IFERROR(INDEX($V$6:$V$105,MATCH(26,$W$6:$W$105,0)),"")</f>
        <v/>
      </c>
      <c r="P31">
        <f>IF(B31="","",B31)</f>
        <v/>
      </c>
      <c r="Q31">
        <f>IF(C31="","",C31)</f>
        <v/>
      </c>
      <c r="R31">
        <f>IF(B31="","",SUMIF($B$6:$B$305,B31,$D$6:$D$305))</f>
        <v/>
      </c>
      <c r="S31">
        <f>IF(OR(B31="",COUNTIF($B$6:$B31,B31)&gt;1),"",SUMPRODUCT((COUNTIF($B$5:B31,$B$6:$B$305)=1)*($R$6:$R$305&gt;R31)*($B$6:$B$305&lt;&gt;""))+1)</f>
        <v/>
      </c>
      <c r="T31">
        <f>IF(Participants!B30="","",Participants!B30)</f>
        <v/>
      </c>
      <c r="U31">
        <f>IF(Participants!C30="","",Participants!C30)</f>
        <v/>
      </c>
      <c r="V31">
        <f>IF(U31="","",IFERROR(SUMIF($B$6:$B$305,U31,$D$6:$D$305),0))</f>
        <v/>
      </c>
      <c r="W31">
        <f>IF(T31="","",COUNTIFS($V$6:$V$105,"&gt;"&amp;V31,$T$6:$T$105,"&lt;&gt;")+COUNTIFS($V$6:$V31,"="&amp;V31,$T$6:$T31,"&lt;&gt;"))</f>
        <v/>
      </c>
    </row>
    <row r="32">
      <c r="A32" s="43" t="n"/>
      <c r="B32" s="56" t="n"/>
      <c r="C32" s="56" t="n"/>
      <c r="D32" s="43" t="n"/>
      <c r="F32" s="43" t="n">
        <v>27</v>
      </c>
      <c r="G32" s="44">
        <f>IFERROR(INDEX($P$6:$P$305,MATCH(27,$S$6:$S$305,0)),"")</f>
        <v/>
      </c>
      <c r="H32" s="44">
        <f>IFERROR(INDEX($Q$6:$Q$305,MATCH(27,$S$6:$S$305,0)),"")</f>
        <v/>
      </c>
      <c r="I32" s="43">
        <f>IFERROR(INDEX($R$6:$R$305,MATCH(27,$S$6:$S$305,0)),"")</f>
        <v/>
      </c>
      <c r="K32" s="43" t="n">
        <v>27</v>
      </c>
      <c r="L32" s="44">
        <f>IFERROR(INDEX($T$6:$T$105,MATCH(27,$W$6:$W$105,0)),"")</f>
        <v/>
      </c>
      <c r="M32" s="44">
        <f>IFERROR(INDEX($U$6:$U$105,MATCH(27,$W$6:$W$105,0)),"")</f>
        <v/>
      </c>
      <c r="N32" s="43">
        <f>IFERROR(INDEX($V$6:$V$105,MATCH(27,$W$6:$W$105,0)),"")</f>
        <v/>
      </c>
      <c r="P32">
        <f>IF(B32="","",B32)</f>
        <v/>
      </c>
      <c r="Q32">
        <f>IF(C32="","",C32)</f>
        <v/>
      </c>
      <c r="R32">
        <f>IF(B32="","",SUMIF($B$6:$B$305,B32,$D$6:$D$305))</f>
        <v/>
      </c>
      <c r="S32">
        <f>IF(OR(B32="",COUNTIF($B$6:$B32,B32)&gt;1),"",SUMPRODUCT((COUNTIF($B$5:B32,$B$6:$B$305)=1)*($R$6:$R$305&gt;R32)*($B$6:$B$305&lt;&gt;""))+1)</f>
        <v/>
      </c>
      <c r="T32">
        <f>IF(Participants!B31="","",Participants!B31)</f>
        <v/>
      </c>
      <c r="U32">
        <f>IF(Participants!C31="","",Participants!C31)</f>
        <v/>
      </c>
      <c r="V32">
        <f>IF(U32="","",IFERROR(SUMIF($B$6:$B$305,U32,$D$6:$D$305),0))</f>
        <v/>
      </c>
      <c r="W32">
        <f>IF(T32="","",COUNTIFS($V$6:$V$105,"&gt;"&amp;V32,$T$6:$T$105,"&lt;&gt;")+COUNTIFS($V$6:$V32,"="&amp;V32,$T$6:$T32,"&lt;&gt;"))</f>
        <v/>
      </c>
    </row>
    <row r="33">
      <c r="A33" s="43" t="n"/>
      <c r="B33" s="56" t="n"/>
      <c r="C33" s="56" t="n"/>
      <c r="D33" s="43" t="n"/>
      <c r="F33" s="43" t="n">
        <v>28</v>
      </c>
      <c r="G33" s="44">
        <f>IFERROR(INDEX($P$6:$P$305,MATCH(28,$S$6:$S$305,0)),"")</f>
        <v/>
      </c>
      <c r="H33" s="44">
        <f>IFERROR(INDEX($Q$6:$Q$305,MATCH(28,$S$6:$S$305,0)),"")</f>
        <v/>
      </c>
      <c r="I33" s="43">
        <f>IFERROR(INDEX($R$6:$R$305,MATCH(28,$S$6:$S$305,0)),"")</f>
        <v/>
      </c>
      <c r="K33" s="43" t="n">
        <v>28</v>
      </c>
      <c r="L33" s="44">
        <f>IFERROR(INDEX($T$6:$T$105,MATCH(28,$W$6:$W$105,0)),"")</f>
        <v/>
      </c>
      <c r="M33" s="44">
        <f>IFERROR(INDEX($U$6:$U$105,MATCH(28,$W$6:$W$105,0)),"")</f>
        <v/>
      </c>
      <c r="N33" s="43">
        <f>IFERROR(INDEX($V$6:$V$105,MATCH(28,$W$6:$W$105,0)),"")</f>
        <v/>
      </c>
      <c r="P33">
        <f>IF(B33="","",B33)</f>
        <v/>
      </c>
      <c r="Q33">
        <f>IF(C33="","",C33)</f>
        <v/>
      </c>
      <c r="R33">
        <f>IF(B33="","",SUMIF($B$6:$B$305,B33,$D$6:$D$305))</f>
        <v/>
      </c>
      <c r="S33">
        <f>IF(OR(B33="",COUNTIF($B$6:$B33,B33)&gt;1),"",SUMPRODUCT((COUNTIF($B$5:B33,$B$6:$B$305)=1)*($R$6:$R$305&gt;R33)*($B$6:$B$305&lt;&gt;""))+1)</f>
        <v/>
      </c>
      <c r="T33">
        <f>IF(Participants!B32="","",Participants!B32)</f>
        <v/>
      </c>
      <c r="U33">
        <f>IF(Participants!C32="","",Participants!C32)</f>
        <v/>
      </c>
      <c r="V33">
        <f>IF(U33="","",IFERROR(SUMIF($B$6:$B$305,U33,$D$6:$D$305),0))</f>
        <v/>
      </c>
      <c r="W33">
        <f>IF(T33="","",COUNTIFS($V$6:$V$105,"&gt;"&amp;V33,$T$6:$T$105,"&lt;&gt;")+COUNTIFS($V$6:$V33,"="&amp;V33,$T$6:$T33,"&lt;&gt;"))</f>
        <v/>
      </c>
    </row>
    <row r="34">
      <c r="A34" s="43" t="n"/>
      <c r="B34" s="56" t="n"/>
      <c r="C34" s="56" t="n"/>
      <c r="D34" s="43" t="n"/>
      <c r="F34" s="43" t="n">
        <v>29</v>
      </c>
      <c r="G34" s="44">
        <f>IFERROR(INDEX($P$6:$P$305,MATCH(29,$S$6:$S$305,0)),"")</f>
        <v/>
      </c>
      <c r="H34" s="44">
        <f>IFERROR(INDEX($Q$6:$Q$305,MATCH(29,$S$6:$S$305,0)),"")</f>
        <v/>
      </c>
      <c r="I34" s="43">
        <f>IFERROR(INDEX($R$6:$R$305,MATCH(29,$S$6:$S$305,0)),"")</f>
        <v/>
      </c>
      <c r="K34" s="43" t="n">
        <v>29</v>
      </c>
      <c r="L34" s="44">
        <f>IFERROR(INDEX($T$6:$T$105,MATCH(29,$W$6:$W$105,0)),"")</f>
        <v/>
      </c>
      <c r="M34" s="44">
        <f>IFERROR(INDEX($U$6:$U$105,MATCH(29,$W$6:$W$105,0)),"")</f>
        <v/>
      </c>
      <c r="N34" s="43">
        <f>IFERROR(INDEX($V$6:$V$105,MATCH(29,$W$6:$W$105,0)),"")</f>
        <v/>
      </c>
      <c r="P34">
        <f>IF(B34="","",B34)</f>
        <v/>
      </c>
      <c r="Q34">
        <f>IF(C34="","",C34)</f>
        <v/>
      </c>
      <c r="R34">
        <f>IF(B34="","",SUMIF($B$6:$B$305,B34,$D$6:$D$305))</f>
        <v/>
      </c>
      <c r="S34">
        <f>IF(OR(B34="",COUNTIF($B$6:$B34,B34)&gt;1),"",SUMPRODUCT((COUNTIF($B$5:B34,$B$6:$B$305)=1)*($R$6:$R$305&gt;R34)*($B$6:$B$305&lt;&gt;""))+1)</f>
        <v/>
      </c>
      <c r="T34">
        <f>IF(Participants!B33="","",Participants!B33)</f>
        <v/>
      </c>
      <c r="U34">
        <f>IF(Participants!C33="","",Participants!C33)</f>
        <v/>
      </c>
      <c r="V34">
        <f>IF(U34="","",IFERROR(SUMIF($B$6:$B$305,U34,$D$6:$D$305),0))</f>
        <v/>
      </c>
      <c r="W34">
        <f>IF(T34="","",COUNTIFS($V$6:$V$105,"&gt;"&amp;V34,$T$6:$T$105,"&lt;&gt;")+COUNTIFS($V$6:$V34,"="&amp;V34,$T$6:$T34,"&lt;&gt;"))</f>
        <v/>
      </c>
    </row>
    <row r="35">
      <c r="A35" s="43" t="n"/>
      <c r="B35" s="56" t="n"/>
      <c r="C35" s="56" t="n"/>
      <c r="D35" s="43" t="n"/>
      <c r="F35" s="43" t="n">
        <v>30</v>
      </c>
      <c r="G35" s="44">
        <f>IFERROR(INDEX($P$6:$P$305,MATCH(30,$S$6:$S$305,0)),"")</f>
        <v/>
      </c>
      <c r="H35" s="44">
        <f>IFERROR(INDEX($Q$6:$Q$305,MATCH(30,$S$6:$S$305,0)),"")</f>
        <v/>
      </c>
      <c r="I35" s="43">
        <f>IFERROR(INDEX($R$6:$R$305,MATCH(30,$S$6:$S$305,0)),"")</f>
        <v/>
      </c>
      <c r="K35" s="43" t="n">
        <v>30</v>
      </c>
      <c r="L35" s="44">
        <f>IFERROR(INDEX($T$6:$T$105,MATCH(30,$W$6:$W$105,0)),"")</f>
        <v/>
      </c>
      <c r="M35" s="44">
        <f>IFERROR(INDEX($U$6:$U$105,MATCH(30,$W$6:$W$105,0)),"")</f>
        <v/>
      </c>
      <c r="N35" s="43">
        <f>IFERROR(INDEX($V$6:$V$105,MATCH(30,$W$6:$W$105,0)),"")</f>
        <v/>
      </c>
      <c r="P35">
        <f>IF(B35="","",B35)</f>
        <v/>
      </c>
      <c r="Q35">
        <f>IF(C35="","",C35)</f>
        <v/>
      </c>
      <c r="R35">
        <f>IF(B35="","",SUMIF($B$6:$B$305,B35,$D$6:$D$305))</f>
        <v/>
      </c>
      <c r="S35">
        <f>IF(OR(B35="",COUNTIF($B$6:$B35,B35)&gt;1),"",SUMPRODUCT((COUNTIF($B$5:B35,$B$6:$B$305)=1)*($R$6:$R$305&gt;R35)*($B$6:$B$305&lt;&gt;""))+1)</f>
        <v/>
      </c>
      <c r="T35">
        <f>IF(Participants!B34="","",Participants!B34)</f>
        <v/>
      </c>
      <c r="U35">
        <f>IF(Participants!C34="","",Participants!C34)</f>
        <v/>
      </c>
      <c r="V35">
        <f>IF(U35="","",IFERROR(SUMIF($B$6:$B$305,U35,$D$6:$D$305),0))</f>
        <v/>
      </c>
      <c r="W35">
        <f>IF(T35="","",COUNTIFS($V$6:$V$105,"&gt;"&amp;V35,$T$6:$T$105,"&lt;&gt;")+COUNTIFS($V$6:$V35,"="&amp;V35,$T$6:$T35,"&lt;&gt;"))</f>
        <v/>
      </c>
    </row>
    <row r="36">
      <c r="A36" s="43" t="n"/>
      <c r="B36" s="56" t="n"/>
      <c r="C36" s="56" t="n"/>
      <c r="D36" s="43" t="n"/>
      <c r="K36" s="43" t="n">
        <v>31</v>
      </c>
      <c r="L36" s="44">
        <f>IFERROR(INDEX($T$6:$T$105,MATCH(31,$W$6:$W$105,0)),"")</f>
        <v/>
      </c>
      <c r="M36" s="44">
        <f>IFERROR(INDEX($U$6:$U$105,MATCH(31,$W$6:$W$105,0)),"")</f>
        <v/>
      </c>
      <c r="N36" s="43">
        <f>IFERROR(INDEX($V$6:$V$105,MATCH(31,$W$6:$W$105,0)),"")</f>
        <v/>
      </c>
      <c r="P36">
        <f>IF(B36="","",B36)</f>
        <v/>
      </c>
      <c r="Q36">
        <f>IF(C36="","",C36)</f>
        <v/>
      </c>
      <c r="R36">
        <f>IF(B36="","",SUMIF($B$6:$B$305,B36,$D$6:$D$305))</f>
        <v/>
      </c>
      <c r="S36">
        <f>IF(OR(B36="",COUNTIF($B$6:$B36,B36)&gt;1),"",SUMPRODUCT((COUNTIF($B$5:B36,$B$6:$B$305)=1)*($R$6:$R$305&gt;R36)*($B$6:$B$305&lt;&gt;""))+1)</f>
        <v/>
      </c>
      <c r="T36">
        <f>IF(Participants!B35="","",Participants!B35)</f>
        <v/>
      </c>
      <c r="U36">
        <f>IF(Participants!C35="","",Participants!C35)</f>
        <v/>
      </c>
      <c r="V36">
        <f>IF(U36="","",IFERROR(SUMIF($B$6:$B$305,U36,$D$6:$D$305),0))</f>
        <v/>
      </c>
      <c r="W36">
        <f>IF(T36="","",COUNTIFS($V$6:$V$105,"&gt;"&amp;V36,$T$6:$T$105,"&lt;&gt;")+COUNTIFS($V$6:$V36,"="&amp;V36,$T$6:$T36,"&lt;&gt;"))</f>
        <v/>
      </c>
    </row>
    <row r="37">
      <c r="A37" s="43" t="n"/>
      <c r="B37" s="56" t="n"/>
      <c r="C37" s="56" t="n"/>
      <c r="D37" s="43" t="n"/>
      <c r="K37" s="43" t="n">
        <v>32</v>
      </c>
      <c r="L37" s="44">
        <f>IFERROR(INDEX($T$6:$T$105,MATCH(32,$W$6:$W$105,0)),"")</f>
        <v/>
      </c>
      <c r="M37" s="44">
        <f>IFERROR(INDEX($U$6:$U$105,MATCH(32,$W$6:$W$105,0)),"")</f>
        <v/>
      </c>
      <c r="N37" s="43">
        <f>IFERROR(INDEX($V$6:$V$105,MATCH(32,$W$6:$W$105,0)),"")</f>
        <v/>
      </c>
      <c r="P37">
        <f>IF(B37="","",B37)</f>
        <v/>
      </c>
      <c r="Q37">
        <f>IF(C37="","",C37)</f>
        <v/>
      </c>
      <c r="R37">
        <f>IF(B37="","",SUMIF($B$6:$B$305,B37,$D$6:$D$305))</f>
        <v/>
      </c>
      <c r="S37">
        <f>IF(OR(B37="",COUNTIF($B$6:$B37,B37)&gt;1),"",SUMPRODUCT((COUNTIF($B$5:B37,$B$6:$B$305)=1)*($R$6:$R$305&gt;R37)*($B$6:$B$305&lt;&gt;""))+1)</f>
        <v/>
      </c>
      <c r="T37">
        <f>IF(Participants!B36="","",Participants!B36)</f>
        <v/>
      </c>
      <c r="U37">
        <f>IF(Participants!C36="","",Participants!C36)</f>
        <v/>
      </c>
      <c r="V37">
        <f>IF(U37="","",IFERROR(SUMIF($B$6:$B$305,U37,$D$6:$D$305),0))</f>
        <v/>
      </c>
      <c r="W37">
        <f>IF(T37="","",COUNTIFS($V$6:$V$105,"&gt;"&amp;V37,$T$6:$T$105,"&lt;&gt;")+COUNTIFS($V$6:$V37,"="&amp;V37,$T$6:$T37,"&lt;&gt;"))</f>
        <v/>
      </c>
    </row>
    <row r="38">
      <c r="A38" s="43" t="n"/>
      <c r="B38" s="56" t="n"/>
      <c r="C38" s="56" t="n"/>
      <c r="D38" s="43" t="n"/>
      <c r="K38" s="43" t="n">
        <v>33</v>
      </c>
      <c r="L38" s="44">
        <f>IFERROR(INDEX($T$6:$T$105,MATCH(33,$W$6:$W$105,0)),"")</f>
        <v/>
      </c>
      <c r="M38" s="44">
        <f>IFERROR(INDEX($U$6:$U$105,MATCH(33,$W$6:$W$105,0)),"")</f>
        <v/>
      </c>
      <c r="N38" s="43">
        <f>IFERROR(INDEX($V$6:$V$105,MATCH(33,$W$6:$W$105,0)),"")</f>
        <v/>
      </c>
      <c r="P38">
        <f>IF(B38="","",B38)</f>
        <v/>
      </c>
      <c r="Q38">
        <f>IF(C38="","",C38)</f>
        <v/>
      </c>
      <c r="R38">
        <f>IF(B38="","",SUMIF($B$6:$B$305,B38,$D$6:$D$305))</f>
        <v/>
      </c>
      <c r="S38">
        <f>IF(OR(B38="",COUNTIF($B$6:$B38,B38)&gt;1),"",SUMPRODUCT((COUNTIF($B$5:B38,$B$6:$B$305)=1)*($R$6:$R$305&gt;R38)*($B$6:$B$305&lt;&gt;""))+1)</f>
        <v/>
      </c>
      <c r="T38">
        <f>IF(Participants!B37="","",Participants!B37)</f>
        <v/>
      </c>
      <c r="U38">
        <f>IF(Participants!C37="","",Participants!C37)</f>
        <v/>
      </c>
      <c r="V38">
        <f>IF(U38="","",IFERROR(SUMIF($B$6:$B$305,U38,$D$6:$D$305),0))</f>
        <v/>
      </c>
      <c r="W38">
        <f>IF(T38="","",COUNTIFS($V$6:$V$105,"&gt;"&amp;V38,$T$6:$T$105,"&lt;&gt;")+COUNTIFS($V$6:$V38,"="&amp;V38,$T$6:$T38,"&lt;&gt;"))</f>
        <v/>
      </c>
    </row>
    <row r="39">
      <c r="A39" s="43" t="n"/>
      <c r="B39" s="56" t="n"/>
      <c r="C39" s="56" t="n"/>
      <c r="D39" s="43" t="n"/>
      <c r="K39" s="43" t="n">
        <v>34</v>
      </c>
      <c r="L39" s="44">
        <f>IFERROR(INDEX($T$6:$T$105,MATCH(34,$W$6:$W$105,0)),"")</f>
        <v/>
      </c>
      <c r="M39" s="44">
        <f>IFERROR(INDEX($U$6:$U$105,MATCH(34,$W$6:$W$105,0)),"")</f>
        <v/>
      </c>
      <c r="N39" s="43">
        <f>IFERROR(INDEX($V$6:$V$105,MATCH(34,$W$6:$W$105,0)),"")</f>
        <v/>
      </c>
      <c r="P39">
        <f>IF(B39="","",B39)</f>
        <v/>
      </c>
      <c r="Q39">
        <f>IF(C39="","",C39)</f>
        <v/>
      </c>
      <c r="R39">
        <f>IF(B39="","",SUMIF($B$6:$B$305,B39,$D$6:$D$305))</f>
        <v/>
      </c>
      <c r="S39">
        <f>IF(OR(B39="",COUNTIF($B$6:$B39,B39)&gt;1),"",SUMPRODUCT((COUNTIF($B$5:B39,$B$6:$B$305)=1)*($R$6:$R$305&gt;R39)*($B$6:$B$305&lt;&gt;""))+1)</f>
        <v/>
      </c>
      <c r="T39">
        <f>IF(Participants!B38="","",Participants!B38)</f>
        <v/>
      </c>
      <c r="U39">
        <f>IF(Participants!C38="","",Participants!C38)</f>
        <v/>
      </c>
      <c r="V39">
        <f>IF(U39="","",IFERROR(SUMIF($B$6:$B$305,U39,$D$6:$D$305),0))</f>
        <v/>
      </c>
      <c r="W39">
        <f>IF(T39="","",COUNTIFS($V$6:$V$105,"&gt;"&amp;V39,$T$6:$T$105,"&lt;&gt;")+COUNTIFS($V$6:$V39,"="&amp;V39,$T$6:$T39,"&lt;&gt;"))</f>
        <v/>
      </c>
    </row>
    <row r="40">
      <c r="A40" s="43" t="n"/>
      <c r="B40" s="56" t="n"/>
      <c r="C40" s="56" t="n"/>
      <c r="D40" s="43" t="n"/>
      <c r="K40" s="43" t="n">
        <v>35</v>
      </c>
      <c r="L40" s="44">
        <f>IFERROR(INDEX($T$6:$T$105,MATCH(35,$W$6:$W$105,0)),"")</f>
        <v/>
      </c>
      <c r="M40" s="44">
        <f>IFERROR(INDEX($U$6:$U$105,MATCH(35,$W$6:$W$105,0)),"")</f>
        <v/>
      </c>
      <c r="N40" s="43">
        <f>IFERROR(INDEX($V$6:$V$105,MATCH(35,$W$6:$W$105,0)),"")</f>
        <v/>
      </c>
      <c r="P40">
        <f>IF(B40="","",B40)</f>
        <v/>
      </c>
      <c r="Q40">
        <f>IF(C40="","",C40)</f>
        <v/>
      </c>
      <c r="R40">
        <f>IF(B40="","",SUMIF($B$6:$B$305,B40,$D$6:$D$305))</f>
        <v/>
      </c>
      <c r="S40">
        <f>IF(OR(B40="",COUNTIF($B$6:$B40,B40)&gt;1),"",SUMPRODUCT((COUNTIF($B$5:B40,$B$6:$B$305)=1)*($R$6:$R$305&gt;R40)*($B$6:$B$305&lt;&gt;""))+1)</f>
        <v/>
      </c>
      <c r="T40">
        <f>IF(Participants!B39="","",Participants!B39)</f>
        <v/>
      </c>
      <c r="U40">
        <f>IF(Participants!C39="","",Participants!C39)</f>
        <v/>
      </c>
      <c r="V40">
        <f>IF(U40="","",IFERROR(SUMIF($B$6:$B$305,U40,$D$6:$D$305),0))</f>
        <v/>
      </c>
      <c r="W40">
        <f>IF(T40="","",COUNTIFS($V$6:$V$105,"&gt;"&amp;V40,$T$6:$T$105,"&lt;&gt;")+COUNTIFS($V$6:$V40,"="&amp;V40,$T$6:$T40,"&lt;&gt;"))</f>
        <v/>
      </c>
    </row>
    <row r="41">
      <c r="A41" s="43" t="n"/>
      <c r="B41" s="56" t="n"/>
      <c r="C41" s="56" t="n"/>
      <c r="D41" s="43" t="n"/>
      <c r="K41" s="43" t="n">
        <v>36</v>
      </c>
      <c r="L41" s="44">
        <f>IFERROR(INDEX($T$6:$T$105,MATCH(36,$W$6:$W$105,0)),"")</f>
        <v/>
      </c>
      <c r="M41" s="44">
        <f>IFERROR(INDEX($U$6:$U$105,MATCH(36,$W$6:$W$105,0)),"")</f>
        <v/>
      </c>
      <c r="N41" s="43">
        <f>IFERROR(INDEX($V$6:$V$105,MATCH(36,$W$6:$W$105,0)),"")</f>
        <v/>
      </c>
      <c r="P41">
        <f>IF(B41="","",B41)</f>
        <v/>
      </c>
      <c r="Q41">
        <f>IF(C41="","",C41)</f>
        <v/>
      </c>
      <c r="R41">
        <f>IF(B41="","",SUMIF($B$6:$B$305,B41,$D$6:$D$305))</f>
        <v/>
      </c>
      <c r="S41">
        <f>IF(OR(B41="",COUNTIF($B$6:$B41,B41)&gt;1),"",SUMPRODUCT((COUNTIF($B$5:B41,$B$6:$B$305)=1)*($R$6:$R$305&gt;R41)*($B$6:$B$305&lt;&gt;""))+1)</f>
        <v/>
      </c>
      <c r="T41">
        <f>IF(Participants!B40="","",Participants!B40)</f>
        <v/>
      </c>
      <c r="U41">
        <f>IF(Participants!C40="","",Participants!C40)</f>
        <v/>
      </c>
      <c r="V41">
        <f>IF(U41="","",IFERROR(SUMIF($B$6:$B$305,U41,$D$6:$D$305),0))</f>
        <v/>
      </c>
      <c r="W41">
        <f>IF(T41="","",COUNTIFS($V$6:$V$105,"&gt;"&amp;V41,$T$6:$T$105,"&lt;&gt;")+COUNTIFS($V$6:$V41,"="&amp;V41,$T$6:$T41,"&lt;&gt;"))</f>
        <v/>
      </c>
    </row>
    <row r="42">
      <c r="A42" s="43" t="n"/>
      <c r="B42" s="56" t="n"/>
      <c r="C42" s="56" t="n"/>
      <c r="D42" s="43" t="n"/>
      <c r="K42" s="43" t="n">
        <v>37</v>
      </c>
      <c r="L42" s="44">
        <f>IFERROR(INDEX($T$6:$T$105,MATCH(37,$W$6:$W$105,0)),"")</f>
        <v/>
      </c>
      <c r="M42" s="44">
        <f>IFERROR(INDEX($U$6:$U$105,MATCH(37,$W$6:$W$105,0)),"")</f>
        <v/>
      </c>
      <c r="N42" s="43">
        <f>IFERROR(INDEX($V$6:$V$105,MATCH(37,$W$6:$W$105,0)),"")</f>
        <v/>
      </c>
      <c r="P42">
        <f>IF(B42="","",B42)</f>
        <v/>
      </c>
      <c r="Q42">
        <f>IF(C42="","",C42)</f>
        <v/>
      </c>
      <c r="R42">
        <f>IF(B42="","",SUMIF($B$6:$B$305,B42,$D$6:$D$305))</f>
        <v/>
      </c>
      <c r="S42">
        <f>IF(OR(B42="",COUNTIF($B$6:$B42,B42)&gt;1),"",SUMPRODUCT((COUNTIF($B$5:B42,$B$6:$B$305)=1)*($R$6:$R$305&gt;R42)*($B$6:$B$305&lt;&gt;""))+1)</f>
        <v/>
      </c>
      <c r="T42">
        <f>IF(Participants!B41="","",Participants!B41)</f>
        <v/>
      </c>
      <c r="U42">
        <f>IF(Participants!C41="","",Participants!C41)</f>
        <v/>
      </c>
      <c r="V42">
        <f>IF(U42="","",IFERROR(SUMIF($B$6:$B$305,U42,$D$6:$D$305),0))</f>
        <v/>
      </c>
      <c r="W42">
        <f>IF(T42="","",COUNTIFS($V$6:$V$105,"&gt;"&amp;V42,$T$6:$T$105,"&lt;&gt;")+COUNTIFS($V$6:$V42,"="&amp;V42,$T$6:$T42,"&lt;&gt;"))</f>
        <v/>
      </c>
    </row>
    <row r="43">
      <c r="A43" s="43" t="n"/>
      <c r="B43" s="56" t="n"/>
      <c r="C43" s="56" t="n"/>
      <c r="D43" s="43" t="n"/>
      <c r="K43" s="43" t="n">
        <v>38</v>
      </c>
      <c r="L43" s="44">
        <f>IFERROR(INDEX($T$6:$T$105,MATCH(38,$W$6:$W$105,0)),"")</f>
        <v/>
      </c>
      <c r="M43" s="44">
        <f>IFERROR(INDEX($U$6:$U$105,MATCH(38,$W$6:$W$105,0)),"")</f>
        <v/>
      </c>
      <c r="N43" s="43">
        <f>IFERROR(INDEX($V$6:$V$105,MATCH(38,$W$6:$W$105,0)),"")</f>
        <v/>
      </c>
      <c r="P43">
        <f>IF(B43="","",B43)</f>
        <v/>
      </c>
      <c r="Q43">
        <f>IF(C43="","",C43)</f>
        <v/>
      </c>
      <c r="R43">
        <f>IF(B43="","",SUMIF($B$6:$B$305,B43,$D$6:$D$305))</f>
        <v/>
      </c>
      <c r="S43">
        <f>IF(OR(B43="",COUNTIF($B$6:$B43,B43)&gt;1),"",SUMPRODUCT((COUNTIF($B$5:B43,$B$6:$B$305)=1)*($R$6:$R$305&gt;R43)*($B$6:$B$305&lt;&gt;""))+1)</f>
        <v/>
      </c>
      <c r="T43">
        <f>IF(Participants!B42="","",Participants!B42)</f>
        <v/>
      </c>
      <c r="U43">
        <f>IF(Participants!C42="","",Participants!C42)</f>
        <v/>
      </c>
      <c r="V43">
        <f>IF(U43="","",IFERROR(SUMIF($B$6:$B$305,U43,$D$6:$D$305),0))</f>
        <v/>
      </c>
      <c r="W43">
        <f>IF(T43="","",COUNTIFS($V$6:$V$105,"&gt;"&amp;V43,$T$6:$T$105,"&lt;&gt;")+COUNTIFS($V$6:$V43,"="&amp;V43,$T$6:$T43,"&lt;&gt;"))</f>
        <v/>
      </c>
    </row>
    <row r="44">
      <c r="A44" s="43" t="n"/>
      <c r="B44" s="56" t="n"/>
      <c r="C44" s="56" t="n"/>
      <c r="D44" s="43" t="n"/>
      <c r="K44" s="43" t="n">
        <v>39</v>
      </c>
      <c r="L44" s="44">
        <f>IFERROR(INDEX($T$6:$T$105,MATCH(39,$W$6:$W$105,0)),"")</f>
        <v/>
      </c>
      <c r="M44" s="44">
        <f>IFERROR(INDEX($U$6:$U$105,MATCH(39,$W$6:$W$105,0)),"")</f>
        <v/>
      </c>
      <c r="N44" s="43">
        <f>IFERROR(INDEX($V$6:$V$105,MATCH(39,$W$6:$W$105,0)),"")</f>
        <v/>
      </c>
      <c r="P44">
        <f>IF(B44="","",B44)</f>
        <v/>
      </c>
      <c r="Q44">
        <f>IF(C44="","",C44)</f>
        <v/>
      </c>
      <c r="R44">
        <f>IF(B44="","",SUMIF($B$6:$B$305,B44,$D$6:$D$305))</f>
        <v/>
      </c>
      <c r="S44">
        <f>IF(OR(B44="",COUNTIF($B$6:$B44,B44)&gt;1),"",SUMPRODUCT((COUNTIF($B$5:B44,$B$6:$B$305)=1)*($R$6:$R$305&gt;R44)*($B$6:$B$305&lt;&gt;""))+1)</f>
        <v/>
      </c>
      <c r="T44">
        <f>IF(Participants!B43="","",Participants!B43)</f>
        <v/>
      </c>
      <c r="U44">
        <f>IF(Participants!C43="","",Participants!C43)</f>
        <v/>
      </c>
      <c r="V44">
        <f>IF(U44="","",IFERROR(SUMIF($B$6:$B$305,U44,$D$6:$D$305),0))</f>
        <v/>
      </c>
      <c r="W44">
        <f>IF(T44="","",COUNTIFS($V$6:$V$105,"&gt;"&amp;V44,$T$6:$T$105,"&lt;&gt;")+COUNTIFS($V$6:$V44,"="&amp;V44,$T$6:$T44,"&lt;&gt;"))</f>
        <v/>
      </c>
    </row>
    <row r="45">
      <c r="A45" s="43" t="n"/>
      <c r="B45" s="56" t="n"/>
      <c r="C45" s="56" t="n"/>
      <c r="D45" s="43" t="n"/>
      <c r="K45" s="43" t="n">
        <v>40</v>
      </c>
      <c r="L45" s="44">
        <f>IFERROR(INDEX($T$6:$T$105,MATCH(40,$W$6:$W$105,0)),"")</f>
        <v/>
      </c>
      <c r="M45" s="44">
        <f>IFERROR(INDEX($U$6:$U$105,MATCH(40,$W$6:$W$105,0)),"")</f>
        <v/>
      </c>
      <c r="N45" s="43">
        <f>IFERROR(INDEX($V$6:$V$105,MATCH(40,$W$6:$W$105,0)),"")</f>
        <v/>
      </c>
      <c r="P45">
        <f>IF(B45="","",B45)</f>
        <v/>
      </c>
      <c r="Q45">
        <f>IF(C45="","",C45)</f>
        <v/>
      </c>
      <c r="R45">
        <f>IF(B45="","",SUMIF($B$6:$B$305,B45,$D$6:$D$305))</f>
        <v/>
      </c>
      <c r="S45">
        <f>IF(OR(B45="",COUNTIF($B$6:$B45,B45)&gt;1),"",SUMPRODUCT((COUNTIF($B$5:B45,$B$6:$B$305)=1)*($R$6:$R$305&gt;R45)*($B$6:$B$305&lt;&gt;""))+1)</f>
        <v/>
      </c>
      <c r="T45">
        <f>IF(Participants!B44="","",Participants!B44)</f>
        <v/>
      </c>
      <c r="U45">
        <f>IF(Participants!C44="","",Participants!C44)</f>
        <v/>
      </c>
      <c r="V45">
        <f>IF(U45="","",IFERROR(SUMIF($B$6:$B$305,U45,$D$6:$D$305),0))</f>
        <v/>
      </c>
      <c r="W45">
        <f>IF(T45="","",COUNTIFS($V$6:$V$105,"&gt;"&amp;V45,$T$6:$T$105,"&lt;&gt;")+COUNTIFS($V$6:$V45,"="&amp;V45,$T$6:$T45,"&lt;&gt;"))</f>
        <v/>
      </c>
    </row>
    <row r="46">
      <c r="A46" s="43" t="n"/>
      <c r="B46" s="56" t="n"/>
      <c r="C46" s="56" t="n"/>
      <c r="D46" s="43" t="n"/>
      <c r="K46" s="43" t="n">
        <v>41</v>
      </c>
      <c r="L46" s="44">
        <f>IFERROR(INDEX($T$6:$T$105,MATCH(41,$W$6:$W$105,0)),"")</f>
        <v/>
      </c>
      <c r="M46" s="44">
        <f>IFERROR(INDEX($U$6:$U$105,MATCH(41,$W$6:$W$105,0)),"")</f>
        <v/>
      </c>
      <c r="N46" s="43">
        <f>IFERROR(INDEX($V$6:$V$105,MATCH(41,$W$6:$W$105,0)),"")</f>
        <v/>
      </c>
      <c r="P46">
        <f>IF(B46="","",B46)</f>
        <v/>
      </c>
      <c r="Q46">
        <f>IF(C46="","",C46)</f>
        <v/>
      </c>
      <c r="R46">
        <f>IF(B46="","",SUMIF($B$6:$B$305,B46,$D$6:$D$305))</f>
        <v/>
      </c>
      <c r="S46">
        <f>IF(OR(B46="",COUNTIF($B$6:$B46,B46)&gt;1),"",SUMPRODUCT((COUNTIF($B$5:B46,$B$6:$B$305)=1)*($R$6:$R$305&gt;R46)*($B$6:$B$305&lt;&gt;""))+1)</f>
        <v/>
      </c>
      <c r="T46">
        <f>IF(Participants!B45="","",Participants!B45)</f>
        <v/>
      </c>
      <c r="U46">
        <f>IF(Participants!C45="","",Participants!C45)</f>
        <v/>
      </c>
      <c r="V46">
        <f>IF(U46="","",IFERROR(SUMIF($B$6:$B$305,U46,$D$6:$D$305),0))</f>
        <v/>
      </c>
      <c r="W46">
        <f>IF(T46="","",COUNTIFS($V$6:$V$105,"&gt;"&amp;V46,$T$6:$T$105,"&lt;&gt;")+COUNTIFS($V$6:$V46,"="&amp;V46,$T$6:$T46,"&lt;&gt;"))</f>
        <v/>
      </c>
    </row>
    <row r="47">
      <c r="A47" s="43" t="n"/>
      <c r="B47" s="56" t="n"/>
      <c r="C47" s="56" t="n"/>
      <c r="D47" s="43" t="n"/>
      <c r="K47" s="43" t="n">
        <v>42</v>
      </c>
      <c r="L47" s="44">
        <f>IFERROR(INDEX($T$6:$T$105,MATCH(42,$W$6:$W$105,0)),"")</f>
        <v/>
      </c>
      <c r="M47" s="44">
        <f>IFERROR(INDEX($U$6:$U$105,MATCH(42,$W$6:$W$105,0)),"")</f>
        <v/>
      </c>
      <c r="N47" s="43">
        <f>IFERROR(INDEX($V$6:$V$105,MATCH(42,$W$6:$W$105,0)),"")</f>
        <v/>
      </c>
      <c r="P47">
        <f>IF(B47="","",B47)</f>
        <v/>
      </c>
      <c r="Q47">
        <f>IF(C47="","",C47)</f>
        <v/>
      </c>
      <c r="R47">
        <f>IF(B47="","",SUMIF($B$6:$B$305,B47,$D$6:$D$305))</f>
        <v/>
      </c>
      <c r="S47">
        <f>IF(OR(B47="",COUNTIF($B$6:$B47,B47)&gt;1),"",SUMPRODUCT((COUNTIF($B$5:B47,$B$6:$B$305)=1)*($R$6:$R$305&gt;R47)*($B$6:$B$305&lt;&gt;""))+1)</f>
        <v/>
      </c>
      <c r="T47">
        <f>IF(Participants!B46="","",Participants!B46)</f>
        <v/>
      </c>
      <c r="U47">
        <f>IF(Participants!C46="","",Participants!C46)</f>
        <v/>
      </c>
      <c r="V47">
        <f>IF(U47="","",IFERROR(SUMIF($B$6:$B$305,U47,$D$6:$D$305),0))</f>
        <v/>
      </c>
      <c r="W47">
        <f>IF(T47="","",COUNTIFS($V$6:$V$105,"&gt;"&amp;V47,$T$6:$T$105,"&lt;&gt;")+COUNTIFS($V$6:$V47,"="&amp;V47,$T$6:$T47,"&lt;&gt;"))</f>
        <v/>
      </c>
    </row>
    <row r="48">
      <c r="A48" s="43" t="n"/>
      <c r="B48" s="56" t="n"/>
      <c r="C48" s="56" t="n"/>
      <c r="D48" s="43" t="n"/>
      <c r="K48" s="43" t="n">
        <v>43</v>
      </c>
      <c r="L48" s="44">
        <f>IFERROR(INDEX($T$6:$T$105,MATCH(43,$W$6:$W$105,0)),"")</f>
        <v/>
      </c>
      <c r="M48" s="44">
        <f>IFERROR(INDEX($U$6:$U$105,MATCH(43,$W$6:$W$105,0)),"")</f>
        <v/>
      </c>
      <c r="N48" s="43">
        <f>IFERROR(INDEX($V$6:$V$105,MATCH(43,$W$6:$W$105,0)),"")</f>
        <v/>
      </c>
      <c r="P48">
        <f>IF(B48="","",B48)</f>
        <v/>
      </c>
      <c r="Q48">
        <f>IF(C48="","",C48)</f>
        <v/>
      </c>
      <c r="R48">
        <f>IF(B48="","",SUMIF($B$6:$B$305,B48,$D$6:$D$305))</f>
        <v/>
      </c>
      <c r="S48">
        <f>IF(OR(B48="",COUNTIF($B$6:$B48,B48)&gt;1),"",SUMPRODUCT((COUNTIF($B$5:B48,$B$6:$B$305)=1)*($R$6:$R$305&gt;R48)*($B$6:$B$305&lt;&gt;""))+1)</f>
        <v/>
      </c>
      <c r="T48">
        <f>IF(Participants!B47="","",Participants!B47)</f>
        <v/>
      </c>
      <c r="U48">
        <f>IF(Participants!C47="","",Participants!C47)</f>
        <v/>
      </c>
      <c r="V48">
        <f>IF(U48="","",IFERROR(SUMIF($B$6:$B$305,U48,$D$6:$D$305),0))</f>
        <v/>
      </c>
      <c r="W48">
        <f>IF(T48="","",COUNTIFS($V$6:$V$105,"&gt;"&amp;V48,$T$6:$T$105,"&lt;&gt;")+COUNTIFS($V$6:$V48,"="&amp;V48,$T$6:$T48,"&lt;&gt;"))</f>
        <v/>
      </c>
    </row>
    <row r="49">
      <c r="A49" s="43" t="n"/>
      <c r="B49" s="56" t="n"/>
      <c r="C49" s="56" t="n"/>
      <c r="D49" s="43" t="n"/>
      <c r="K49" s="43" t="n">
        <v>44</v>
      </c>
      <c r="L49" s="44">
        <f>IFERROR(INDEX($T$6:$T$105,MATCH(44,$W$6:$W$105,0)),"")</f>
        <v/>
      </c>
      <c r="M49" s="44">
        <f>IFERROR(INDEX($U$6:$U$105,MATCH(44,$W$6:$W$105,0)),"")</f>
        <v/>
      </c>
      <c r="N49" s="43">
        <f>IFERROR(INDEX($V$6:$V$105,MATCH(44,$W$6:$W$105,0)),"")</f>
        <v/>
      </c>
      <c r="P49">
        <f>IF(B49="","",B49)</f>
        <v/>
      </c>
      <c r="Q49">
        <f>IF(C49="","",C49)</f>
        <v/>
      </c>
      <c r="R49">
        <f>IF(B49="","",SUMIF($B$6:$B$305,B49,$D$6:$D$305))</f>
        <v/>
      </c>
      <c r="S49">
        <f>IF(OR(B49="",COUNTIF($B$6:$B49,B49)&gt;1),"",SUMPRODUCT((COUNTIF($B$5:B49,$B$6:$B$305)=1)*($R$6:$R$305&gt;R49)*($B$6:$B$305&lt;&gt;""))+1)</f>
        <v/>
      </c>
      <c r="T49">
        <f>IF(Participants!B48="","",Participants!B48)</f>
        <v/>
      </c>
      <c r="U49">
        <f>IF(Participants!C48="","",Participants!C48)</f>
        <v/>
      </c>
      <c r="V49">
        <f>IF(U49="","",IFERROR(SUMIF($B$6:$B$305,U49,$D$6:$D$305),0))</f>
        <v/>
      </c>
      <c r="W49">
        <f>IF(T49="","",COUNTIFS($V$6:$V$105,"&gt;"&amp;V49,$T$6:$T$105,"&lt;&gt;")+COUNTIFS($V$6:$V49,"="&amp;V49,$T$6:$T49,"&lt;&gt;"))</f>
        <v/>
      </c>
    </row>
    <row r="50">
      <c r="A50" s="43" t="n"/>
      <c r="B50" s="56" t="n"/>
      <c r="C50" s="56" t="n"/>
      <c r="D50" s="43" t="n"/>
      <c r="K50" s="43" t="n">
        <v>45</v>
      </c>
      <c r="L50" s="44">
        <f>IFERROR(INDEX($T$6:$T$105,MATCH(45,$W$6:$W$105,0)),"")</f>
        <v/>
      </c>
      <c r="M50" s="44">
        <f>IFERROR(INDEX($U$6:$U$105,MATCH(45,$W$6:$W$105,0)),"")</f>
        <v/>
      </c>
      <c r="N50" s="43">
        <f>IFERROR(INDEX($V$6:$V$105,MATCH(45,$W$6:$W$105,0)),"")</f>
        <v/>
      </c>
      <c r="P50">
        <f>IF(B50="","",B50)</f>
        <v/>
      </c>
      <c r="Q50">
        <f>IF(C50="","",C50)</f>
        <v/>
      </c>
      <c r="R50">
        <f>IF(B50="","",SUMIF($B$6:$B$305,B50,$D$6:$D$305))</f>
        <v/>
      </c>
      <c r="S50">
        <f>IF(OR(B50="",COUNTIF($B$6:$B50,B50)&gt;1),"",SUMPRODUCT((COUNTIF($B$5:B50,$B$6:$B$305)=1)*($R$6:$R$305&gt;R50)*($B$6:$B$305&lt;&gt;""))+1)</f>
        <v/>
      </c>
      <c r="T50">
        <f>IF(Participants!B49="","",Participants!B49)</f>
        <v/>
      </c>
      <c r="U50">
        <f>IF(Participants!C49="","",Participants!C49)</f>
        <v/>
      </c>
      <c r="V50">
        <f>IF(U50="","",IFERROR(SUMIF($B$6:$B$305,U50,$D$6:$D$305),0))</f>
        <v/>
      </c>
      <c r="W50">
        <f>IF(T50="","",COUNTIFS($V$6:$V$105,"&gt;"&amp;V50,$T$6:$T$105,"&lt;&gt;")+COUNTIFS($V$6:$V50,"="&amp;V50,$T$6:$T50,"&lt;&gt;"))</f>
        <v/>
      </c>
    </row>
    <row r="51">
      <c r="A51" s="43" t="n"/>
      <c r="B51" s="56" t="n"/>
      <c r="C51" s="56" t="n"/>
      <c r="D51" s="43" t="n"/>
      <c r="K51" s="43" t="n">
        <v>46</v>
      </c>
      <c r="L51" s="44">
        <f>IFERROR(INDEX($T$6:$T$105,MATCH(46,$W$6:$W$105,0)),"")</f>
        <v/>
      </c>
      <c r="M51" s="44">
        <f>IFERROR(INDEX($U$6:$U$105,MATCH(46,$W$6:$W$105,0)),"")</f>
        <v/>
      </c>
      <c r="N51" s="43">
        <f>IFERROR(INDEX($V$6:$V$105,MATCH(46,$W$6:$W$105,0)),"")</f>
        <v/>
      </c>
      <c r="P51">
        <f>IF(B51="","",B51)</f>
        <v/>
      </c>
      <c r="Q51">
        <f>IF(C51="","",C51)</f>
        <v/>
      </c>
      <c r="R51">
        <f>IF(B51="","",SUMIF($B$6:$B$305,B51,$D$6:$D$305))</f>
        <v/>
      </c>
      <c r="S51">
        <f>IF(OR(B51="",COUNTIF($B$6:$B51,B51)&gt;1),"",SUMPRODUCT((COUNTIF($B$5:B51,$B$6:$B$305)=1)*($R$6:$R$305&gt;R51)*($B$6:$B$305&lt;&gt;""))+1)</f>
        <v/>
      </c>
      <c r="T51">
        <f>IF(Participants!B50="","",Participants!B50)</f>
        <v/>
      </c>
      <c r="U51">
        <f>IF(Participants!C50="","",Participants!C50)</f>
        <v/>
      </c>
      <c r="V51">
        <f>IF(U51="","",IFERROR(SUMIF($B$6:$B$305,U51,$D$6:$D$305),0))</f>
        <v/>
      </c>
      <c r="W51">
        <f>IF(T51="","",COUNTIFS($V$6:$V$105,"&gt;"&amp;V51,$T$6:$T$105,"&lt;&gt;")+COUNTIFS($V$6:$V51,"="&amp;V51,$T$6:$T51,"&lt;&gt;"))</f>
        <v/>
      </c>
    </row>
    <row r="52">
      <c r="A52" s="43" t="n"/>
      <c r="B52" s="56" t="n"/>
      <c r="C52" s="56" t="n"/>
      <c r="D52" s="43" t="n"/>
      <c r="K52" s="43" t="n">
        <v>47</v>
      </c>
      <c r="L52" s="44">
        <f>IFERROR(INDEX($T$6:$T$105,MATCH(47,$W$6:$W$105,0)),"")</f>
        <v/>
      </c>
      <c r="M52" s="44">
        <f>IFERROR(INDEX($U$6:$U$105,MATCH(47,$W$6:$W$105,0)),"")</f>
        <v/>
      </c>
      <c r="N52" s="43">
        <f>IFERROR(INDEX($V$6:$V$105,MATCH(47,$W$6:$W$105,0)),"")</f>
        <v/>
      </c>
      <c r="P52">
        <f>IF(B52="","",B52)</f>
        <v/>
      </c>
      <c r="Q52">
        <f>IF(C52="","",C52)</f>
        <v/>
      </c>
      <c r="R52">
        <f>IF(B52="","",SUMIF($B$6:$B$305,B52,$D$6:$D$305))</f>
        <v/>
      </c>
      <c r="S52">
        <f>IF(OR(B52="",COUNTIF($B$6:$B52,B52)&gt;1),"",SUMPRODUCT((COUNTIF($B$5:B52,$B$6:$B$305)=1)*($R$6:$R$305&gt;R52)*($B$6:$B$305&lt;&gt;""))+1)</f>
        <v/>
      </c>
      <c r="T52">
        <f>IF(Participants!B51="","",Participants!B51)</f>
        <v/>
      </c>
      <c r="U52">
        <f>IF(Participants!C51="","",Participants!C51)</f>
        <v/>
      </c>
      <c r="V52">
        <f>IF(U52="","",IFERROR(SUMIF($B$6:$B$305,U52,$D$6:$D$305),0))</f>
        <v/>
      </c>
      <c r="W52">
        <f>IF(T52="","",COUNTIFS($V$6:$V$105,"&gt;"&amp;V52,$T$6:$T$105,"&lt;&gt;")+COUNTIFS($V$6:$V52,"="&amp;V52,$T$6:$T52,"&lt;&gt;"))</f>
        <v/>
      </c>
    </row>
    <row r="53">
      <c r="A53" s="43" t="n"/>
      <c r="B53" s="56" t="n"/>
      <c r="C53" s="56" t="n"/>
      <c r="D53" s="43" t="n"/>
      <c r="K53" s="43" t="n">
        <v>48</v>
      </c>
      <c r="L53" s="44">
        <f>IFERROR(INDEX($T$6:$T$105,MATCH(48,$W$6:$W$105,0)),"")</f>
        <v/>
      </c>
      <c r="M53" s="44">
        <f>IFERROR(INDEX($U$6:$U$105,MATCH(48,$W$6:$W$105,0)),"")</f>
        <v/>
      </c>
      <c r="N53" s="43">
        <f>IFERROR(INDEX($V$6:$V$105,MATCH(48,$W$6:$W$105,0)),"")</f>
        <v/>
      </c>
      <c r="P53">
        <f>IF(B53="","",B53)</f>
        <v/>
      </c>
      <c r="Q53">
        <f>IF(C53="","",C53)</f>
        <v/>
      </c>
      <c r="R53">
        <f>IF(B53="","",SUMIF($B$6:$B$305,B53,$D$6:$D$305))</f>
        <v/>
      </c>
      <c r="S53">
        <f>IF(OR(B53="",COUNTIF($B$6:$B53,B53)&gt;1),"",SUMPRODUCT((COUNTIF($B$5:B53,$B$6:$B$305)=1)*($R$6:$R$305&gt;R53)*($B$6:$B$305&lt;&gt;""))+1)</f>
        <v/>
      </c>
      <c r="T53">
        <f>IF(Participants!B52="","",Participants!B52)</f>
        <v/>
      </c>
      <c r="U53">
        <f>IF(Participants!C52="","",Participants!C52)</f>
        <v/>
      </c>
      <c r="V53">
        <f>IF(U53="","",IFERROR(SUMIF($B$6:$B$305,U53,$D$6:$D$305),0))</f>
        <v/>
      </c>
      <c r="W53">
        <f>IF(T53="","",COUNTIFS($V$6:$V$105,"&gt;"&amp;V53,$T$6:$T$105,"&lt;&gt;")+COUNTIFS($V$6:$V53,"="&amp;V53,$T$6:$T53,"&lt;&gt;"))</f>
        <v/>
      </c>
    </row>
    <row r="54">
      <c r="A54" s="43" t="n"/>
      <c r="B54" s="56" t="n"/>
      <c r="C54" s="56" t="n"/>
      <c r="D54" s="43" t="n"/>
      <c r="K54" s="43" t="n">
        <v>49</v>
      </c>
      <c r="L54" s="44">
        <f>IFERROR(INDEX($T$6:$T$105,MATCH(49,$W$6:$W$105,0)),"")</f>
        <v/>
      </c>
      <c r="M54" s="44">
        <f>IFERROR(INDEX($U$6:$U$105,MATCH(49,$W$6:$W$105,0)),"")</f>
        <v/>
      </c>
      <c r="N54" s="43">
        <f>IFERROR(INDEX($V$6:$V$105,MATCH(49,$W$6:$W$105,0)),"")</f>
        <v/>
      </c>
      <c r="P54">
        <f>IF(B54="","",B54)</f>
        <v/>
      </c>
      <c r="Q54">
        <f>IF(C54="","",C54)</f>
        <v/>
      </c>
      <c r="R54">
        <f>IF(B54="","",SUMIF($B$6:$B$305,B54,$D$6:$D$305))</f>
        <v/>
      </c>
      <c r="S54">
        <f>IF(OR(B54="",COUNTIF($B$6:$B54,B54)&gt;1),"",SUMPRODUCT((COUNTIF($B$5:B54,$B$6:$B$305)=1)*($R$6:$R$305&gt;R54)*($B$6:$B$305&lt;&gt;""))+1)</f>
        <v/>
      </c>
      <c r="T54">
        <f>IF(Participants!B53="","",Participants!B53)</f>
        <v/>
      </c>
      <c r="U54">
        <f>IF(Participants!C53="","",Participants!C53)</f>
        <v/>
      </c>
      <c r="V54">
        <f>IF(U54="","",IFERROR(SUMIF($B$6:$B$305,U54,$D$6:$D$305),0))</f>
        <v/>
      </c>
      <c r="W54">
        <f>IF(T54="","",COUNTIFS($V$6:$V$105,"&gt;"&amp;V54,$T$6:$T$105,"&lt;&gt;")+COUNTIFS($V$6:$V54,"="&amp;V54,$T$6:$T54,"&lt;&gt;"))</f>
        <v/>
      </c>
    </row>
    <row r="55">
      <c r="A55" s="43" t="n"/>
      <c r="B55" s="56" t="n"/>
      <c r="C55" s="56" t="n"/>
      <c r="D55" s="43" t="n"/>
      <c r="K55" s="43" t="n">
        <v>50</v>
      </c>
      <c r="L55" s="44">
        <f>IFERROR(INDEX($T$6:$T$105,MATCH(50,$W$6:$W$105,0)),"")</f>
        <v/>
      </c>
      <c r="M55" s="44">
        <f>IFERROR(INDEX($U$6:$U$105,MATCH(50,$W$6:$W$105,0)),"")</f>
        <v/>
      </c>
      <c r="N55" s="43">
        <f>IFERROR(INDEX($V$6:$V$105,MATCH(50,$W$6:$W$105,0)),"")</f>
        <v/>
      </c>
      <c r="P55">
        <f>IF(B55="","",B55)</f>
        <v/>
      </c>
      <c r="Q55">
        <f>IF(C55="","",C55)</f>
        <v/>
      </c>
      <c r="R55">
        <f>IF(B55="","",SUMIF($B$6:$B$305,B55,$D$6:$D$305))</f>
        <v/>
      </c>
      <c r="S55">
        <f>IF(OR(B55="",COUNTIF($B$6:$B55,B55)&gt;1),"",SUMPRODUCT((COUNTIF($B$5:B55,$B$6:$B$305)=1)*($R$6:$R$305&gt;R55)*($B$6:$B$305&lt;&gt;""))+1)</f>
        <v/>
      </c>
      <c r="T55">
        <f>IF(Participants!B54="","",Participants!B54)</f>
        <v/>
      </c>
      <c r="U55">
        <f>IF(Participants!C54="","",Participants!C54)</f>
        <v/>
      </c>
      <c r="V55">
        <f>IF(U55="","",IFERROR(SUMIF($B$6:$B$305,U55,$D$6:$D$305),0))</f>
        <v/>
      </c>
      <c r="W55">
        <f>IF(T55="","",COUNTIFS($V$6:$V$105,"&gt;"&amp;V55,$T$6:$T$105,"&lt;&gt;")+COUNTIFS($V$6:$V55,"="&amp;V55,$T$6:$T55,"&lt;&gt;"))</f>
        <v/>
      </c>
    </row>
    <row r="56">
      <c r="A56" s="43" t="n"/>
      <c r="B56" s="56" t="n"/>
      <c r="C56" s="56" t="n"/>
      <c r="D56" s="43" t="n"/>
      <c r="P56">
        <f>IF(B56="","",B56)</f>
        <v/>
      </c>
      <c r="Q56">
        <f>IF(C56="","",C56)</f>
        <v/>
      </c>
      <c r="R56">
        <f>IF(B56="","",SUMIF($B$6:$B$305,B56,$D$6:$D$305))</f>
        <v/>
      </c>
      <c r="S56">
        <f>IF(OR(B56="",COUNTIF($B$6:$B56,B56)&gt;1),"",SUMPRODUCT((COUNTIF($B$5:B56,$B$6:$B$305)=1)*($R$6:$R$305&gt;R56)*($B$6:$B$305&lt;&gt;""))+1)</f>
        <v/>
      </c>
      <c r="T56">
        <f>IF(Participants!B55="","",Participants!B55)</f>
        <v/>
      </c>
      <c r="U56">
        <f>IF(Participants!C55="","",Participants!C55)</f>
        <v/>
      </c>
      <c r="V56">
        <f>IF(U56="","",IFERROR(SUMIF($B$6:$B$305,U56,$D$6:$D$305),0))</f>
        <v/>
      </c>
      <c r="W56">
        <f>IF(T56="","",COUNTIFS($V$6:$V$105,"&gt;"&amp;V56,$T$6:$T$105,"&lt;&gt;")+COUNTIFS($V$6:$V56,"="&amp;V56,$T$6:$T56,"&lt;&gt;"))</f>
        <v/>
      </c>
    </row>
    <row r="57">
      <c r="A57" s="43" t="n"/>
      <c r="B57" s="56" t="n"/>
      <c r="C57" s="56" t="n"/>
      <c r="D57" s="43" t="n"/>
      <c r="P57">
        <f>IF(B57="","",B57)</f>
        <v/>
      </c>
      <c r="Q57">
        <f>IF(C57="","",C57)</f>
        <v/>
      </c>
      <c r="R57">
        <f>IF(B57="","",SUMIF($B$6:$B$305,B57,$D$6:$D$305))</f>
        <v/>
      </c>
      <c r="S57">
        <f>IF(OR(B57="",COUNTIF($B$6:$B57,B57)&gt;1),"",SUMPRODUCT((COUNTIF($B$5:B57,$B$6:$B$305)=1)*($R$6:$R$305&gt;R57)*($B$6:$B$305&lt;&gt;""))+1)</f>
        <v/>
      </c>
      <c r="T57">
        <f>IF(Participants!B56="","",Participants!B56)</f>
        <v/>
      </c>
      <c r="U57">
        <f>IF(Participants!C56="","",Participants!C56)</f>
        <v/>
      </c>
      <c r="V57">
        <f>IF(U57="","",IFERROR(SUMIF($B$6:$B$305,U57,$D$6:$D$305),0))</f>
        <v/>
      </c>
      <c r="W57">
        <f>IF(T57="","",COUNTIFS($V$6:$V$105,"&gt;"&amp;V57,$T$6:$T$105,"&lt;&gt;")+COUNTIFS($V$6:$V57,"="&amp;V57,$T$6:$T57,"&lt;&gt;"))</f>
        <v/>
      </c>
    </row>
    <row r="58">
      <c r="A58" s="43" t="n"/>
      <c r="B58" s="56" t="n"/>
      <c r="C58" s="56" t="n"/>
      <c r="D58" s="43" t="n"/>
      <c r="P58">
        <f>IF(B58="","",B58)</f>
        <v/>
      </c>
      <c r="Q58">
        <f>IF(C58="","",C58)</f>
        <v/>
      </c>
      <c r="R58">
        <f>IF(B58="","",SUMIF($B$6:$B$305,B58,$D$6:$D$305))</f>
        <v/>
      </c>
      <c r="S58">
        <f>IF(OR(B58="",COUNTIF($B$6:$B58,B58)&gt;1),"",SUMPRODUCT((COUNTIF($B$5:B58,$B$6:$B$305)=1)*($R$6:$R$305&gt;R58)*($B$6:$B$305&lt;&gt;""))+1)</f>
        <v/>
      </c>
      <c r="T58">
        <f>IF(Participants!B57="","",Participants!B57)</f>
        <v/>
      </c>
      <c r="U58">
        <f>IF(Participants!C57="","",Participants!C57)</f>
        <v/>
      </c>
      <c r="V58">
        <f>IF(U58="","",IFERROR(SUMIF($B$6:$B$305,U58,$D$6:$D$305),0))</f>
        <v/>
      </c>
      <c r="W58">
        <f>IF(T58="","",COUNTIFS($V$6:$V$105,"&gt;"&amp;V58,$T$6:$T$105,"&lt;&gt;")+COUNTIFS($V$6:$V58,"="&amp;V58,$T$6:$T58,"&lt;&gt;"))</f>
        <v/>
      </c>
    </row>
    <row r="59">
      <c r="A59" s="43" t="n"/>
      <c r="B59" s="56" t="n"/>
      <c r="C59" s="56" t="n"/>
      <c r="D59" s="43" t="n"/>
      <c r="P59">
        <f>IF(B59="","",B59)</f>
        <v/>
      </c>
      <c r="Q59">
        <f>IF(C59="","",C59)</f>
        <v/>
      </c>
      <c r="R59">
        <f>IF(B59="","",SUMIF($B$6:$B$305,B59,$D$6:$D$305))</f>
        <v/>
      </c>
      <c r="S59">
        <f>IF(OR(B59="",COUNTIF($B$6:$B59,B59)&gt;1),"",SUMPRODUCT((COUNTIF($B$5:B59,$B$6:$B$305)=1)*($R$6:$R$305&gt;R59)*($B$6:$B$305&lt;&gt;""))+1)</f>
        <v/>
      </c>
      <c r="T59">
        <f>IF(Participants!B58="","",Participants!B58)</f>
        <v/>
      </c>
      <c r="U59">
        <f>IF(Participants!C58="","",Participants!C58)</f>
        <v/>
      </c>
      <c r="V59">
        <f>IF(U59="","",IFERROR(SUMIF($B$6:$B$305,U59,$D$6:$D$305),0))</f>
        <v/>
      </c>
      <c r="W59">
        <f>IF(T59="","",COUNTIFS($V$6:$V$105,"&gt;"&amp;V59,$T$6:$T$105,"&lt;&gt;")+COUNTIFS($V$6:$V59,"="&amp;V59,$T$6:$T59,"&lt;&gt;"))</f>
        <v/>
      </c>
    </row>
    <row r="60">
      <c r="A60" s="43" t="n"/>
      <c r="B60" s="56" t="n"/>
      <c r="C60" s="56" t="n"/>
      <c r="D60" s="43" t="n"/>
      <c r="P60">
        <f>IF(B60="","",B60)</f>
        <v/>
      </c>
      <c r="Q60">
        <f>IF(C60="","",C60)</f>
        <v/>
      </c>
      <c r="R60">
        <f>IF(B60="","",SUMIF($B$6:$B$305,B60,$D$6:$D$305))</f>
        <v/>
      </c>
      <c r="S60">
        <f>IF(OR(B60="",COUNTIF($B$6:$B60,B60)&gt;1),"",SUMPRODUCT((COUNTIF($B$5:B60,$B$6:$B$305)=1)*($R$6:$R$305&gt;R60)*($B$6:$B$305&lt;&gt;""))+1)</f>
        <v/>
      </c>
      <c r="T60">
        <f>IF(Participants!B59="","",Participants!B59)</f>
        <v/>
      </c>
      <c r="U60">
        <f>IF(Participants!C59="","",Participants!C59)</f>
        <v/>
      </c>
      <c r="V60">
        <f>IF(U60="","",IFERROR(SUMIF($B$6:$B$305,U60,$D$6:$D$305),0))</f>
        <v/>
      </c>
      <c r="W60">
        <f>IF(T60="","",COUNTIFS($V$6:$V$105,"&gt;"&amp;V60,$T$6:$T$105,"&lt;&gt;")+COUNTIFS($V$6:$V60,"="&amp;V60,$T$6:$T60,"&lt;&gt;"))</f>
        <v/>
      </c>
    </row>
    <row r="61">
      <c r="A61" s="43" t="n"/>
      <c r="B61" s="56" t="n"/>
      <c r="C61" s="56" t="n"/>
      <c r="D61" s="43" t="n"/>
      <c r="P61">
        <f>IF(B61="","",B61)</f>
        <v/>
      </c>
      <c r="Q61">
        <f>IF(C61="","",C61)</f>
        <v/>
      </c>
      <c r="R61">
        <f>IF(B61="","",SUMIF($B$6:$B$305,B61,$D$6:$D$305))</f>
        <v/>
      </c>
      <c r="S61">
        <f>IF(OR(B61="",COUNTIF($B$6:$B61,B61)&gt;1),"",SUMPRODUCT((COUNTIF($B$5:B61,$B$6:$B$305)=1)*($R$6:$R$305&gt;R61)*($B$6:$B$305&lt;&gt;""))+1)</f>
        <v/>
      </c>
      <c r="T61">
        <f>IF(Participants!B60="","",Participants!B60)</f>
        <v/>
      </c>
      <c r="U61">
        <f>IF(Participants!C60="","",Participants!C60)</f>
        <v/>
      </c>
      <c r="V61">
        <f>IF(U61="","",IFERROR(SUMIF($B$6:$B$305,U61,$D$6:$D$305),0))</f>
        <v/>
      </c>
      <c r="W61">
        <f>IF(T61="","",COUNTIFS($V$6:$V$105,"&gt;"&amp;V61,$T$6:$T$105,"&lt;&gt;")+COUNTIFS($V$6:$V61,"="&amp;V61,$T$6:$T61,"&lt;&gt;"))</f>
        <v/>
      </c>
    </row>
    <row r="62">
      <c r="A62" s="43" t="n"/>
      <c r="B62" s="56" t="n"/>
      <c r="C62" s="56" t="n"/>
      <c r="D62" s="43" t="n"/>
      <c r="P62">
        <f>IF(B62="","",B62)</f>
        <v/>
      </c>
      <c r="Q62">
        <f>IF(C62="","",C62)</f>
        <v/>
      </c>
      <c r="R62">
        <f>IF(B62="","",SUMIF($B$6:$B$305,B62,$D$6:$D$305))</f>
        <v/>
      </c>
      <c r="S62">
        <f>IF(OR(B62="",COUNTIF($B$6:$B62,B62)&gt;1),"",SUMPRODUCT((COUNTIF($B$5:B62,$B$6:$B$305)=1)*($R$6:$R$305&gt;R62)*($B$6:$B$305&lt;&gt;""))+1)</f>
        <v/>
      </c>
      <c r="T62">
        <f>IF(Participants!B61="","",Participants!B61)</f>
        <v/>
      </c>
      <c r="U62">
        <f>IF(Participants!C61="","",Participants!C61)</f>
        <v/>
      </c>
      <c r="V62">
        <f>IF(U62="","",IFERROR(SUMIF($B$6:$B$305,U62,$D$6:$D$305),0))</f>
        <v/>
      </c>
      <c r="W62">
        <f>IF(T62="","",COUNTIFS($V$6:$V$105,"&gt;"&amp;V62,$T$6:$T$105,"&lt;&gt;")+COUNTIFS($V$6:$V62,"="&amp;V62,$T$6:$T62,"&lt;&gt;"))</f>
        <v/>
      </c>
    </row>
    <row r="63">
      <c r="A63" s="43" t="n"/>
      <c r="B63" s="56" t="n"/>
      <c r="C63" s="56" t="n"/>
      <c r="D63" s="43" t="n"/>
      <c r="P63">
        <f>IF(B63="","",B63)</f>
        <v/>
      </c>
      <c r="Q63">
        <f>IF(C63="","",C63)</f>
        <v/>
      </c>
      <c r="R63">
        <f>IF(B63="","",SUMIF($B$6:$B$305,B63,$D$6:$D$305))</f>
        <v/>
      </c>
      <c r="S63">
        <f>IF(OR(B63="",COUNTIF($B$6:$B63,B63)&gt;1),"",SUMPRODUCT((COUNTIF($B$5:B63,$B$6:$B$305)=1)*($R$6:$R$305&gt;R63)*($B$6:$B$305&lt;&gt;""))+1)</f>
        <v/>
      </c>
      <c r="T63">
        <f>IF(Participants!B62="","",Participants!B62)</f>
        <v/>
      </c>
      <c r="U63">
        <f>IF(Participants!C62="","",Participants!C62)</f>
        <v/>
      </c>
      <c r="V63">
        <f>IF(U63="","",IFERROR(SUMIF($B$6:$B$305,U63,$D$6:$D$305),0))</f>
        <v/>
      </c>
      <c r="W63">
        <f>IF(T63="","",COUNTIFS($V$6:$V$105,"&gt;"&amp;V63,$T$6:$T$105,"&lt;&gt;")+COUNTIFS($V$6:$V63,"="&amp;V63,$T$6:$T63,"&lt;&gt;"))</f>
        <v/>
      </c>
    </row>
    <row r="64">
      <c r="A64" s="43" t="n"/>
      <c r="B64" s="56" t="n"/>
      <c r="C64" s="56" t="n"/>
      <c r="D64" s="43" t="n"/>
      <c r="P64">
        <f>IF(B64="","",B64)</f>
        <v/>
      </c>
      <c r="Q64">
        <f>IF(C64="","",C64)</f>
        <v/>
      </c>
      <c r="R64">
        <f>IF(B64="","",SUMIF($B$6:$B$305,B64,$D$6:$D$305))</f>
        <v/>
      </c>
      <c r="S64">
        <f>IF(OR(B64="",COUNTIF($B$6:$B64,B64)&gt;1),"",SUMPRODUCT((COUNTIF($B$5:B64,$B$6:$B$305)=1)*($R$6:$R$305&gt;R64)*($B$6:$B$305&lt;&gt;""))+1)</f>
        <v/>
      </c>
      <c r="T64">
        <f>IF(Participants!B63="","",Participants!B63)</f>
        <v/>
      </c>
      <c r="U64">
        <f>IF(Participants!C63="","",Participants!C63)</f>
        <v/>
      </c>
      <c r="V64">
        <f>IF(U64="","",IFERROR(SUMIF($B$6:$B$305,U64,$D$6:$D$305),0))</f>
        <v/>
      </c>
      <c r="W64">
        <f>IF(T64="","",COUNTIFS($V$6:$V$105,"&gt;"&amp;V64,$T$6:$T$105,"&lt;&gt;")+COUNTIFS($V$6:$V64,"="&amp;V64,$T$6:$T64,"&lt;&gt;"))</f>
        <v/>
      </c>
    </row>
    <row r="65">
      <c r="A65" s="43" t="n"/>
      <c r="B65" s="56" t="n"/>
      <c r="C65" s="56" t="n"/>
      <c r="D65" s="43" t="n"/>
      <c r="P65">
        <f>IF(B65="","",B65)</f>
        <v/>
      </c>
      <c r="Q65">
        <f>IF(C65="","",C65)</f>
        <v/>
      </c>
      <c r="R65">
        <f>IF(B65="","",SUMIF($B$6:$B$305,B65,$D$6:$D$305))</f>
        <v/>
      </c>
      <c r="S65">
        <f>IF(OR(B65="",COUNTIF($B$6:$B65,B65)&gt;1),"",SUMPRODUCT((COUNTIF($B$5:B65,$B$6:$B$305)=1)*($R$6:$R$305&gt;R65)*($B$6:$B$305&lt;&gt;""))+1)</f>
        <v/>
      </c>
      <c r="T65">
        <f>IF(Participants!B64="","",Participants!B64)</f>
        <v/>
      </c>
      <c r="U65">
        <f>IF(Participants!C64="","",Participants!C64)</f>
        <v/>
      </c>
      <c r="V65">
        <f>IF(U65="","",IFERROR(SUMIF($B$6:$B$305,U65,$D$6:$D$305),0))</f>
        <v/>
      </c>
      <c r="W65">
        <f>IF(T65="","",COUNTIFS($V$6:$V$105,"&gt;"&amp;V65,$T$6:$T$105,"&lt;&gt;")+COUNTIFS($V$6:$V65,"="&amp;V65,$T$6:$T65,"&lt;&gt;"))</f>
        <v/>
      </c>
    </row>
    <row r="66">
      <c r="A66" s="43" t="n"/>
      <c r="B66" s="56" t="n"/>
      <c r="C66" s="56" t="n"/>
      <c r="D66" s="43" t="n"/>
      <c r="P66">
        <f>IF(B66="","",B66)</f>
        <v/>
      </c>
      <c r="Q66">
        <f>IF(C66="","",C66)</f>
        <v/>
      </c>
      <c r="R66">
        <f>IF(B66="","",SUMIF($B$6:$B$305,B66,$D$6:$D$305))</f>
        <v/>
      </c>
      <c r="S66">
        <f>IF(OR(B66="",COUNTIF($B$6:$B66,B66)&gt;1),"",SUMPRODUCT((COUNTIF($B$5:B66,$B$6:$B$305)=1)*($R$6:$R$305&gt;R66)*($B$6:$B$305&lt;&gt;""))+1)</f>
        <v/>
      </c>
      <c r="T66">
        <f>IF(Participants!B65="","",Participants!B65)</f>
        <v/>
      </c>
      <c r="U66">
        <f>IF(Participants!C65="","",Participants!C65)</f>
        <v/>
      </c>
      <c r="V66">
        <f>IF(U66="","",IFERROR(SUMIF($B$6:$B$305,U66,$D$6:$D$305),0))</f>
        <v/>
      </c>
      <c r="W66">
        <f>IF(T66="","",COUNTIFS($V$6:$V$105,"&gt;"&amp;V66,$T$6:$T$105,"&lt;&gt;")+COUNTIFS($V$6:$V66,"="&amp;V66,$T$6:$T66,"&lt;&gt;"))</f>
        <v/>
      </c>
    </row>
    <row r="67">
      <c r="A67" s="43" t="n"/>
      <c r="B67" s="56" t="n"/>
      <c r="C67" s="56" t="n"/>
      <c r="D67" s="43" t="n"/>
      <c r="P67">
        <f>IF(B67="","",B67)</f>
        <v/>
      </c>
      <c r="Q67">
        <f>IF(C67="","",C67)</f>
        <v/>
      </c>
      <c r="R67">
        <f>IF(B67="","",SUMIF($B$6:$B$305,B67,$D$6:$D$305))</f>
        <v/>
      </c>
      <c r="S67">
        <f>IF(OR(B67="",COUNTIF($B$6:$B67,B67)&gt;1),"",SUMPRODUCT((COUNTIF($B$5:B67,$B$6:$B$305)=1)*($R$6:$R$305&gt;R67)*($B$6:$B$305&lt;&gt;""))+1)</f>
        <v/>
      </c>
      <c r="T67">
        <f>IF(Participants!B66="","",Participants!B66)</f>
        <v/>
      </c>
      <c r="U67">
        <f>IF(Participants!C66="","",Participants!C66)</f>
        <v/>
      </c>
      <c r="V67">
        <f>IF(U67="","",IFERROR(SUMIF($B$6:$B$305,U67,$D$6:$D$305),0))</f>
        <v/>
      </c>
      <c r="W67">
        <f>IF(T67="","",COUNTIFS($V$6:$V$105,"&gt;"&amp;V67,$T$6:$T$105,"&lt;&gt;")+COUNTIFS($V$6:$V67,"="&amp;V67,$T$6:$T67,"&lt;&gt;"))</f>
        <v/>
      </c>
    </row>
    <row r="68">
      <c r="A68" s="43" t="n"/>
      <c r="B68" s="56" t="n"/>
      <c r="C68" s="56" t="n"/>
      <c r="D68" s="43" t="n"/>
      <c r="P68">
        <f>IF(B68="","",B68)</f>
        <v/>
      </c>
      <c r="Q68">
        <f>IF(C68="","",C68)</f>
        <v/>
      </c>
      <c r="R68">
        <f>IF(B68="","",SUMIF($B$6:$B$305,B68,$D$6:$D$305))</f>
        <v/>
      </c>
      <c r="S68">
        <f>IF(OR(B68="",COUNTIF($B$6:$B68,B68)&gt;1),"",SUMPRODUCT((COUNTIF($B$5:B68,$B$6:$B$305)=1)*($R$6:$R$305&gt;R68)*($B$6:$B$305&lt;&gt;""))+1)</f>
        <v/>
      </c>
      <c r="T68">
        <f>IF(Participants!B67="","",Participants!B67)</f>
        <v/>
      </c>
      <c r="U68">
        <f>IF(Participants!C67="","",Participants!C67)</f>
        <v/>
      </c>
      <c r="V68">
        <f>IF(U68="","",IFERROR(SUMIF($B$6:$B$305,U68,$D$6:$D$305),0))</f>
        <v/>
      </c>
      <c r="W68">
        <f>IF(T68="","",COUNTIFS($V$6:$V$105,"&gt;"&amp;V68,$T$6:$T$105,"&lt;&gt;")+COUNTIFS($V$6:$V68,"="&amp;V68,$T$6:$T68,"&lt;&gt;"))</f>
        <v/>
      </c>
    </row>
    <row r="69">
      <c r="A69" s="43" t="n"/>
      <c r="B69" s="56" t="n"/>
      <c r="C69" s="56" t="n"/>
      <c r="D69" s="43" t="n"/>
      <c r="P69">
        <f>IF(B69="","",B69)</f>
        <v/>
      </c>
      <c r="Q69">
        <f>IF(C69="","",C69)</f>
        <v/>
      </c>
      <c r="R69">
        <f>IF(B69="","",SUMIF($B$6:$B$305,B69,$D$6:$D$305))</f>
        <v/>
      </c>
      <c r="S69">
        <f>IF(OR(B69="",COUNTIF($B$6:$B69,B69)&gt;1),"",SUMPRODUCT((COUNTIF($B$5:B69,$B$6:$B$305)=1)*($R$6:$R$305&gt;R69)*($B$6:$B$305&lt;&gt;""))+1)</f>
        <v/>
      </c>
      <c r="T69">
        <f>IF(Participants!B68="","",Participants!B68)</f>
        <v/>
      </c>
      <c r="U69">
        <f>IF(Participants!C68="","",Participants!C68)</f>
        <v/>
      </c>
      <c r="V69">
        <f>IF(U69="","",IFERROR(SUMIF($B$6:$B$305,U69,$D$6:$D$305),0))</f>
        <v/>
      </c>
      <c r="W69">
        <f>IF(T69="","",COUNTIFS($V$6:$V$105,"&gt;"&amp;V69,$T$6:$T$105,"&lt;&gt;")+COUNTIFS($V$6:$V69,"="&amp;V69,$T$6:$T69,"&lt;&gt;"))</f>
        <v/>
      </c>
    </row>
    <row r="70">
      <c r="A70" s="43" t="n"/>
      <c r="B70" s="56" t="n"/>
      <c r="C70" s="56" t="n"/>
      <c r="D70" s="43" t="n"/>
      <c r="P70">
        <f>IF(B70="","",B70)</f>
        <v/>
      </c>
      <c r="Q70">
        <f>IF(C70="","",C70)</f>
        <v/>
      </c>
      <c r="R70">
        <f>IF(B70="","",SUMIF($B$6:$B$305,B70,$D$6:$D$305))</f>
        <v/>
      </c>
      <c r="S70">
        <f>IF(OR(B70="",COUNTIF($B$6:$B70,B70)&gt;1),"",SUMPRODUCT((COUNTIF($B$5:B70,$B$6:$B$305)=1)*($R$6:$R$305&gt;R70)*($B$6:$B$305&lt;&gt;""))+1)</f>
        <v/>
      </c>
      <c r="T70">
        <f>IF(Participants!B69="","",Participants!B69)</f>
        <v/>
      </c>
      <c r="U70">
        <f>IF(Participants!C69="","",Participants!C69)</f>
        <v/>
      </c>
      <c r="V70">
        <f>IF(U70="","",IFERROR(SUMIF($B$6:$B$305,U70,$D$6:$D$305),0))</f>
        <v/>
      </c>
      <c r="W70">
        <f>IF(T70="","",COUNTIFS($V$6:$V$105,"&gt;"&amp;V70,$T$6:$T$105,"&lt;&gt;")+COUNTIFS($V$6:$V70,"="&amp;V70,$T$6:$T70,"&lt;&gt;"))</f>
        <v/>
      </c>
    </row>
    <row r="71">
      <c r="A71" s="43" t="n"/>
      <c r="B71" s="56" t="n"/>
      <c r="C71" s="56" t="n"/>
      <c r="D71" s="43" t="n"/>
      <c r="P71">
        <f>IF(B71="","",B71)</f>
        <v/>
      </c>
      <c r="Q71">
        <f>IF(C71="","",C71)</f>
        <v/>
      </c>
      <c r="R71">
        <f>IF(B71="","",SUMIF($B$6:$B$305,B71,$D$6:$D$305))</f>
        <v/>
      </c>
      <c r="S71">
        <f>IF(OR(B71="",COUNTIF($B$6:$B71,B71)&gt;1),"",SUMPRODUCT((COUNTIF($B$5:B71,$B$6:$B$305)=1)*($R$6:$R$305&gt;R71)*($B$6:$B$305&lt;&gt;""))+1)</f>
        <v/>
      </c>
      <c r="T71">
        <f>IF(Participants!B70="","",Participants!B70)</f>
        <v/>
      </c>
      <c r="U71">
        <f>IF(Participants!C70="","",Participants!C70)</f>
        <v/>
      </c>
      <c r="V71">
        <f>IF(U71="","",IFERROR(SUMIF($B$6:$B$305,U71,$D$6:$D$305),0))</f>
        <v/>
      </c>
      <c r="W71">
        <f>IF(T71="","",COUNTIFS($V$6:$V$105,"&gt;"&amp;V71,$T$6:$T$105,"&lt;&gt;")+COUNTIFS($V$6:$V71,"="&amp;V71,$T$6:$T71,"&lt;&gt;"))</f>
        <v/>
      </c>
    </row>
    <row r="72">
      <c r="A72" s="43" t="n"/>
      <c r="B72" s="56" t="n"/>
      <c r="C72" s="56" t="n"/>
      <c r="D72" s="43" t="n"/>
      <c r="P72">
        <f>IF(B72="","",B72)</f>
        <v/>
      </c>
      <c r="Q72">
        <f>IF(C72="","",C72)</f>
        <v/>
      </c>
      <c r="R72">
        <f>IF(B72="","",SUMIF($B$6:$B$305,B72,$D$6:$D$305))</f>
        <v/>
      </c>
      <c r="S72">
        <f>IF(OR(B72="",COUNTIF($B$6:$B72,B72)&gt;1),"",SUMPRODUCT((COUNTIF($B$5:B72,$B$6:$B$305)=1)*($R$6:$R$305&gt;R72)*($B$6:$B$305&lt;&gt;""))+1)</f>
        <v/>
      </c>
      <c r="T72">
        <f>IF(Participants!B71="","",Participants!B71)</f>
        <v/>
      </c>
      <c r="U72">
        <f>IF(Participants!C71="","",Participants!C71)</f>
        <v/>
      </c>
      <c r="V72">
        <f>IF(U72="","",IFERROR(SUMIF($B$6:$B$305,U72,$D$6:$D$305),0))</f>
        <v/>
      </c>
      <c r="W72">
        <f>IF(T72="","",COUNTIFS($V$6:$V$105,"&gt;"&amp;V72,$T$6:$T$105,"&lt;&gt;")+COUNTIFS($V$6:$V72,"="&amp;V72,$T$6:$T72,"&lt;&gt;"))</f>
        <v/>
      </c>
    </row>
    <row r="73">
      <c r="A73" s="43" t="n"/>
      <c r="B73" s="56" t="n"/>
      <c r="C73" s="56" t="n"/>
      <c r="D73" s="43" t="n"/>
      <c r="P73">
        <f>IF(B73="","",B73)</f>
        <v/>
      </c>
      <c r="Q73">
        <f>IF(C73="","",C73)</f>
        <v/>
      </c>
      <c r="R73">
        <f>IF(B73="","",SUMIF($B$6:$B$305,B73,$D$6:$D$305))</f>
        <v/>
      </c>
      <c r="S73">
        <f>IF(OR(B73="",COUNTIF($B$6:$B73,B73)&gt;1),"",SUMPRODUCT((COUNTIF($B$5:B73,$B$6:$B$305)=1)*($R$6:$R$305&gt;R73)*($B$6:$B$305&lt;&gt;""))+1)</f>
        <v/>
      </c>
      <c r="T73">
        <f>IF(Participants!B72="","",Participants!B72)</f>
        <v/>
      </c>
      <c r="U73">
        <f>IF(Participants!C72="","",Participants!C72)</f>
        <v/>
      </c>
      <c r="V73">
        <f>IF(U73="","",IFERROR(SUMIF($B$6:$B$305,U73,$D$6:$D$305),0))</f>
        <v/>
      </c>
      <c r="W73">
        <f>IF(T73="","",COUNTIFS($V$6:$V$105,"&gt;"&amp;V73,$T$6:$T$105,"&lt;&gt;")+COUNTIFS($V$6:$V73,"="&amp;V73,$T$6:$T73,"&lt;&gt;"))</f>
        <v/>
      </c>
    </row>
    <row r="74">
      <c r="A74" s="43" t="n"/>
      <c r="B74" s="56" t="n"/>
      <c r="C74" s="56" t="n"/>
      <c r="D74" s="43" t="n"/>
      <c r="P74">
        <f>IF(B74="","",B74)</f>
        <v/>
      </c>
      <c r="Q74">
        <f>IF(C74="","",C74)</f>
        <v/>
      </c>
      <c r="R74">
        <f>IF(B74="","",SUMIF($B$6:$B$305,B74,$D$6:$D$305))</f>
        <v/>
      </c>
      <c r="S74">
        <f>IF(OR(B74="",COUNTIF($B$6:$B74,B74)&gt;1),"",SUMPRODUCT((COUNTIF($B$5:B74,$B$6:$B$305)=1)*($R$6:$R$305&gt;R74)*($B$6:$B$305&lt;&gt;""))+1)</f>
        <v/>
      </c>
      <c r="T74">
        <f>IF(Participants!B73="","",Participants!B73)</f>
        <v/>
      </c>
      <c r="U74">
        <f>IF(Participants!C73="","",Participants!C73)</f>
        <v/>
      </c>
      <c r="V74">
        <f>IF(U74="","",IFERROR(SUMIF($B$6:$B$305,U74,$D$6:$D$305),0))</f>
        <v/>
      </c>
      <c r="W74">
        <f>IF(T74="","",COUNTIFS($V$6:$V$105,"&gt;"&amp;V74,$T$6:$T$105,"&lt;&gt;")+COUNTIFS($V$6:$V74,"="&amp;V74,$T$6:$T74,"&lt;&gt;"))</f>
        <v/>
      </c>
    </row>
    <row r="75">
      <c r="A75" s="43" t="n"/>
      <c r="B75" s="56" t="n"/>
      <c r="C75" s="56" t="n"/>
      <c r="D75" s="43" t="n"/>
      <c r="P75">
        <f>IF(B75="","",B75)</f>
        <v/>
      </c>
      <c r="Q75">
        <f>IF(C75="","",C75)</f>
        <v/>
      </c>
      <c r="R75">
        <f>IF(B75="","",SUMIF($B$6:$B$305,B75,$D$6:$D$305))</f>
        <v/>
      </c>
      <c r="S75">
        <f>IF(OR(B75="",COUNTIF($B$6:$B75,B75)&gt;1),"",SUMPRODUCT((COUNTIF($B$5:B75,$B$6:$B$305)=1)*($R$6:$R$305&gt;R75)*($B$6:$B$305&lt;&gt;""))+1)</f>
        <v/>
      </c>
      <c r="T75">
        <f>IF(Participants!B74="","",Participants!B74)</f>
        <v/>
      </c>
      <c r="U75">
        <f>IF(Participants!C74="","",Participants!C74)</f>
        <v/>
      </c>
      <c r="V75">
        <f>IF(U75="","",IFERROR(SUMIF($B$6:$B$305,U75,$D$6:$D$305),0))</f>
        <v/>
      </c>
      <c r="W75">
        <f>IF(T75="","",COUNTIFS($V$6:$V$105,"&gt;"&amp;V75,$T$6:$T$105,"&lt;&gt;")+COUNTIFS($V$6:$V75,"="&amp;V75,$T$6:$T75,"&lt;&gt;"))</f>
        <v/>
      </c>
    </row>
    <row r="76">
      <c r="A76" s="43" t="n"/>
      <c r="B76" s="56" t="n"/>
      <c r="C76" s="56" t="n"/>
      <c r="D76" s="43" t="n"/>
      <c r="P76">
        <f>IF(B76="","",B76)</f>
        <v/>
      </c>
      <c r="Q76">
        <f>IF(C76="","",C76)</f>
        <v/>
      </c>
      <c r="R76">
        <f>IF(B76="","",SUMIF($B$6:$B$305,B76,$D$6:$D$305))</f>
        <v/>
      </c>
      <c r="S76">
        <f>IF(OR(B76="",COUNTIF($B$6:$B76,B76)&gt;1),"",SUMPRODUCT((COUNTIF($B$5:B76,$B$6:$B$305)=1)*($R$6:$R$305&gt;R76)*($B$6:$B$305&lt;&gt;""))+1)</f>
        <v/>
      </c>
      <c r="T76">
        <f>IF(Participants!B75="","",Participants!B75)</f>
        <v/>
      </c>
      <c r="U76">
        <f>IF(Participants!C75="","",Participants!C75)</f>
        <v/>
      </c>
      <c r="V76">
        <f>IF(U76="","",IFERROR(SUMIF($B$6:$B$305,U76,$D$6:$D$305),0))</f>
        <v/>
      </c>
      <c r="W76">
        <f>IF(T76="","",COUNTIFS($V$6:$V$105,"&gt;"&amp;V76,$T$6:$T$105,"&lt;&gt;")+COUNTIFS($V$6:$V76,"="&amp;V76,$T$6:$T76,"&lt;&gt;"))</f>
        <v/>
      </c>
    </row>
    <row r="77">
      <c r="A77" s="43" t="n"/>
      <c r="B77" s="56" t="n"/>
      <c r="C77" s="56" t="n"/>
      <c r="D77" s="43" t="n"/>
      <c r="P77">
        <f>IF(B77="","",B77)</f>
        <v/>
      </c>
      <c r="Q77">
        <f>IF(C77="","",C77)</f>
        <v/>
      </c>
      <c r="R77">
        <f>IF(B77="","",SUMIF($B$6:$B$305,B77,$D$6:$D$305))</f>
        <v/>
      </c>
      <c r="S77">
        <f>IF(OR(B77="",COUNTIF($B$6:$B77,B77)&gt;1),"",SUMPRODUCT((COUNTIF($B$5:B77,$B$6:$B$305)=1)*($R$6:$R$305&gt;R77)*($B$6:$B$305&lt;&gt;""))+1)</f>
        <v/>
      </c>
      <c r="T77">
        <f>IF(Participants!B76="","",Participants!B76)</f>
        <v/>
      </c>
      <c r="U77">
        <f>IF(Participants!C76="","",Participants!C76)</f>
        <v/>
      </c>
      <c r="V77">
        <f>IF(U77="","",IFERROR(SUMIF($B$6:$B$305,U77,$D$6:$D$305),0))</f>
        <v/>
      </c>
      <c r="W77">
        <f>IF(T77="","",COUNTIFS($V$6:$V$105,"&gt;"&amp;V77,$T$6:$T$105,"&lt;&gt;")+COUNTIFS($V$6:$V77,"="&amp;V77,$T$6:$T77,"&lt;&gt;"))</f>
        <v/>
      </c>
    </row>
    <row r="78">
      <c r="A78" s="43" t="n"/>
      <c r="B78" s="56" t="n"/>
      <c r="C78" s="56" t="n"/>
      <c r="D78" s="43" t="n"/>
      <c r="P78">
        <f>IF(B78="","",B78)</f>
        <v/>
      </c>
      <c r="Q78">
        <f>IF(C78="","",C78)</f>
        <v/>
      </c>
      <c r="R78">
        <f>IF(B78="","",SUMIF($B$6:$B$305,B78,$D$6:$D$305))</f>
        <v/>
      </c>
      <c r="S78">
        <f>IF(OR(B78="",COUNTIF($B$6:$B78,B78)&gt;1),"",SUMPRODUCT((COUNTIF($B$5:B78,$B$6:$B$305)=1)*($R$6:$R$305&gt;R78)*($B$6:$B$305&lt;&gt;""))+1)</f>
        <v/>
      </c>
      <c r="T78">
        <f>IF(Participants!B77="","",Participants!B77)</f>
        <v/>
      </c>
      <c r="U78">
        <f>IF(Participants!C77="","",Participants!C77)</f>
        <v/>
      </c>
      <c r="V78">
        <f>IF(U78="","",IFERROR(SUMIF($B$6:$B$305,U78,$D$6:$D$305),0))</f>
        <v/>
      </c>
      <c r="W78">
        <f>IF(T78="","",COUNTIFS($V$6:$V$105,"&gt;"&amp;V78,$T$6:$T$105,"&lt;&gt;")+COUNTIFS($V$6:$V78,"="&amp;V78,$T$6:$T78,"&lt;&gt;"))</f>
        <v/>
      </c>
    </row>
    <row r="79">
      <c r="A79" s="43" t="n"/>
      <c r="B79" s="56" t="n"/>
      <c r="C79" s="56" t="n"/>
      <c r="D79" s="43" t="n"/>
      <c r="P79">
        <f>IF(B79="","",B79)</f>
        <v/>
      </c>
      <c r="Q79">
        <f>IF(C79="","",C79)</f>
        <v/>
      </c>
      <c r="R79">
        <f>IF(B79="","",SUMIF($B$6:$B$305,B79,$D$6:$D$305))</f>
        <v/>
      </c>
      <c r="S79">
        <f>IF(OR(B79="",COUNTIF($B$6:$B79,B79)&gt;1),"",SUMPRODUCT((COUNTIF($B$5:B79,$B$6:$B$305)=1)*($R$6:$R$305&gt;R79)*($B$6:$B$305&lt;&gt;""))+1)</f>
        <v/>
      </c>
      <c r="T79">
        <f>IF(Participants!B78="","",Participants!B78)</f>
        <v/>
      </c>
      <c r="U79">
        <f>IF(Participants!C78="","",Participants!C78)</f>
        <v/>
      </c>
      <c r="V79">
        <f>IF(U79="","",IFERROR(SUMIF($B$6:$B$305,U79,$D$6:$D$305),0))</f>
        <v/>
      </c>
      <c r="W79">
        <f>IF(T79="","",COUNTIFS($V$6:$V$105,"&gt;"&amp;V79,$T$6:$T$105,"&lt;&gt;")+COUNTIFS($V$6:$V79,"="&amp;V79,$T$6:$T79,"&lt;&gt;"))</f>
        <v/>
      </c>
    </row>
    <row r="80">
      <c r="A80" s="43" t="n"/>
      <c r="B80" s="56" t="n"/>
      <c r="C80" s="56" t="n"/>
      <c r="D80" s="43" t="n"/>
      <c r="P80">
        <f>IF(B80="","",B80)</f>
        <v/>
      </c>
      <c r="Q80">
        <f>IF(C80="","",C80)</f>
        <v/>
      </c>
      <c r="R80">
        <f>IF(B80="","",SUMIF($B$6:$B$305,B80,$D$6:$D$305))</f>
        <v/>
      </c>
      <c r="S80">
        <f>IF(OR(B80="",COUNTIF($B$6:$B80,B80)&gt;1),"",SUMPRODUCT((COUNTIF($B$5:B80,$B$6:$B$305)=1)*($R$6:$R$305&gt;R80)*($B$6:$B$305&lt;&gt;""))+1)</f>
        <v/>
      </c>
      <c r="T80">
        <f>IF(Participants!B79="","",Participants!B79)</f>
        <v/>
      </c>
      <c r="U80">
        <f>IF(Participants!C79="","",Participants!C79)</f>
        <v/>
      </c>
      <c r="V80">
        <f>IF(U80="","",IFERROR(SUMIF($B$6:$B$305,U80,$D$6:$D$305),0))</f>
        <v/>
      </c>
      <c r="W80">
        <f>IF(T80="","",COUNTIFS($V$6:$V$105,"&gt;"&amp;V80,$T$6:$T$105,"&lt;&gt;")+COUNTIFS($V$6:$V80,"="&amp;V80,$T$6:$T80,"&lt;&gt;"))</f>
        <v/>
      </c>
    </row>
    <row r="81">
      <c r="A81" s="43" t="n"/>
      <c r="B81" s="56" t="n"/>
      <c r="C81" s="56" t="n"/>
      <c r="D81" s="43" t="n"/>
      <c r="P81">
        <f>IF(B81="","",B81)</f>
        <v/>
      </c>
      <c r="Q81">
        <f>IF(C81="","",C81)</f>
        <v/>
      </c>
      <c r="R81">
        <f>IF(B81="","",SUMIF($B$6:$B$305,B81,$D$6:$D$305))</f>
        <v/>
      </c>
      <c r="S81">
        <f>IF(OR(B81="",COUNTIF($B$6:$B81,B81)&gt;1),"",SUMPRODUCT((COUNTIF($B$5:B81,$B$6:$B$305)=1)*($R$6:$R$305&gt;R81)*($B$6:$B$305&lt;&gt;""))+1)</f>
        <v/>
      </c>
      <c r="T81">
        <f>IF(Participants!B80="","",Participants!B80)</f>
        <v/>
      </c>
      <c r="U81">
        <f>IF(Participants!C80="","",Participants!C80)</f>
        <v/>
      </c>
      <c r="V81">
        <f>IF(U81="","",IFERROR(SUMIF($B$6:$B$305,U81,$D$6:$D$305),0))</f>
        <v/>
      </c>
      <c r="W81">
        <f>IF(T81="","",COUNTIFS($V$6:$V$105,"&gt;"&amp;V81,$T$6:$T$105,"&lt;&gt;")+COUNTIFS($V$6:$V81,"="&amp;V81,$T$6:$T81,"&lt;&gt;"))</f>
        <v/>
      </c>
    </row>
    <row r="82">
      <c r="A82" s="43" t="n"/>
      <c r="B82" s="56" t="n"/>
      <c r="C82" s="56" t="n"/>
      <c r="D82" s="43" t="n"/>
      <c r="P82">
        <f>IF(B82="","",B82)</f>
        <v/>
      </c>
      <c r="Q82">
        <f>IF(C82="","",C82)</f>
        <v/>
      </c>
      <c r="R82">
        <f>IF(B82="","",SUMIF($B$6:$B$305,B82,$D$6:$D$305))</f>
        <v/>
      </c>
      <c r="S82">
        <f>IF(OR(B82="",COUNTIF($B$6:$B82,B82)&gt;1),"",SUMPRODUCT((COUNTIF($B$5:B82,$B$6:$B$305)=1)*($R$6:$R$305&gt;R82)*($B$6:$B$305&lt;&gt;""))+1)</f>
        <v/>
      </c>
      <c r="T82">
        <f>IF(Participants!B81="","",Participants!B81)</f>
        <v/>
      </c>
      <c r="U82">
        <f>IF(Participants!C81="","",Participants!C81)</f>
        <v/>
      </c>
      <c r="V82">
        <f>IF(U82="","",IFERROR(SUMIF($B$6:$B$305,U82,$D$6:$D$305),0))</f>
        <v/>
      </c>
      <c r="W82">
        <f>IF(T82="","",COUNTIFS($V$6:$V$105,"&gt;"&amp;V82,$T$6:$T$105,"&lt;&gt;")+COUNTIFS($V$6:$V82,"="&amp;V82,$T$6:$T82,"&lt;&gt;"))</f>
        <v/>
      </c>
    </row>
    <row r="83">
      <c r="A83" s="43" t="n"/>
      <c r="B83" s="56" t="n"/>
      <c r="C83" s="56" t="n"/>
      <c r="D83" s="43" t="n"/>
      <c r="P83">
        <f>IF(B83="","",B83)</f>
        <v/>
      </c>
      <c r="Q83">
        <f>IF(C83="","",C83)</f>
        <v/>
      </c>
      <c r="R83">
        <f>IF(B83="","",SUMIF($B$6:$B$305,B83,$D$6:$D$305))</f>
        <v/>
      </c>
      <c r="S83">
        <f>IF(OR(B83="",COUNTIF($B$6:$B83,B83)&gt;1),"",SUMPRODUCT((COUNTIF($B$5:B83,$B$6:$B$305)=1)*($R$6:$R$305&gt;R83)*($B$6:$B$305&lt;&gt;""))+1)</f>
        <v/>
      </c>
      <c r="T83">
        <f>IF(Participants!B82="","",Participants!B82)</f>
        <v/>
      </c>
      <c r="U83">
        <f>IF(Participants!C82="","",Participants!C82)</f>
        <v/>
      </c>
      <c r="V83">
        <f>IF(U83="","",IFERROR(SUMIF($B$6:$B$305,U83,$D$6:$D$305),0))</f>
        <v/>
      </c>
      <c r="W83">
        <f>IF(T83="","",COUNTIFS($V$6:$V$105,"&gt;"&amp;V83,$T$6:$T$105,"&lt;&gt;")+COUNTIFS($V$6:$V83,"="&amp;V83,$T$6:$T83,"&lt;&gt;"))</f>
        <v/>
      </c>
    </row>
    <row r="84">
      <c r="A84" s="43" t="n"/>
      <c r="B84" s="56" t="n"/>
      <c r="C84" s="56" t="n"/>
      <c r="D84" s="43" t="n"/>
      <c r="P84">
        <f>IF(B84="","",B84)</f>
        <v/>
      </c>
      <c r="Q84">
        <f>IF(C84="","",C84)</f>
        <v/>
      </c>
      <c r="R84">
        <f>IF(B84="","",SUMIF($B$6:$B$305,B84,$D$6:$D$305))</f>
        <v/>
      </c>
      <c r="S84">
        <f>IF(OR(B84="",COUNTIF($B$6:$B84,B84)&gt;1),"",SUMPRODUCT((COUNTIF($B$5:B84,$B$6:$B$305)=1)*($R$6:$R$305&gt;R84)*($B$6:$B$305&lt;&gt;""))+1)</f>
        <v/>
      </c>
      <c r="T84">
        <f>IF(Participants!B83="","",Participants!B83)</f>
        <v/>
      </c>
      <c r="U84">
        <f>IF(Participants!C83="","",Participants!C83)</f>
        <v/>
      </c>
      <c r="V84">
        <f>IF(U84="","",IFERROR(SUMIF($B$6:$B$305,U84,$D$6:$D$305),0))</f>
        <v/>
      </c>
      <c r="W84">
        <f>IF(T84="","",COUNTIFS($V$6:$V$105,"&gt;"&amp;V84,$T$6:$T$105,"&lt;&gt;")+COUNTIFS($V$6:$V84,"="&amp;V84,$T$6:$T84,"&lt;&gt;"))</f>
        <v/>
      </c>
    </row>
    <row r="85">
      <c r="A85" s="43" t="n"/>
      <c r="B85" s="56" t="n"/>
      <c r="C85" s="56" t="n"/>
      <c r="D85" s="43" t="n"/>
      <c r="P85">
        <f>IF(B85="","",B85)</f>
        <v/>
      </c>
      <c r="Q85">
        <f>IF(C85="","",C85)</f>
        <v/>
      </c>
      <c r="R85">
        <f>IF(B85="","",SUMIF($B$6:$B$305,B85,$D$6:$D$305))</f>
        <v/>
      </c>
      <c r="S85">
        <f>IF(OR(B85="",COUNTIF($B$6:$B85,B85)&gt;1),"",SUMPRODUCT((COUNTIF($B$5:B85,$B$6:$B$305)=1)*($R$6:$R$305&gt;R85)*($B$6:$B$305&lt;&gt;""))+1)</f>
        <v/>
      </c>
      <c r="T85">
        <f>IF(Participants!B84="","",Participants!B84)</f>
        <v/>
      </c>
      <c r="U85">
        <f>IF(Participants!C84="","",Participants!C84)</f>
        <v/>
      </c>
      <c r="V85">
        <f>IF(U85="","",IFERROR(SUMIF($B$6:$B$305,U85,$D$6:$D$305),0))</f>
        <v/>
      </c>
      <c r="W85">
        <f>IF(T85="","",COUNTIFS($V$6:$V$105,"&gt;"&amp;V85,$T$6:$T$105,"&lt;&gt;")+COUNTIFS($V$6:$V85,"="&amp;V85,$T$6:$T85,"&lt;&gt;"))</f>
        <v/>
      </c>
    </row>
    <row r="86">
      <c r="A86" s="43" t="n"/>
      <c r="B86" s="56" t="n"/>
      <c r="C86" s="56" t="n"/>
      <c r="D86" s="43" t="n"/>
      <c r="P86">
        <f>IF(B86="","",B86)</f>
        <v/>
      </c>
      <c r="Q86">
        <f>IF(C86="","",C86)</f>
        <v/>
      </c>
      <c r="R86">
        <f>IF(B86="","",SUMIF($B$6:$B$305,B86,$D$6:$D$305))</f>
        <v/>
      </c>
      <c r="S86">
        <f>IF(OR(B86="",COUNTIF($B$6:$B86,B86)&gt;1),"",SUMPRODUCT((COUNTIF($B$5:B86,$B$6:$B$305)=1)*($R$6:$R$305&gt;R86)*($B$6:$B$305&lt;&gt;""))+1)</f>
        <v/>
      </c>
      <c r="T86">
        <f>IF(Participants!B85="","",Participants!B85)</f>
        <v/>
      </c>
      <c r="U86">
        <f>IF(Participants!C85="","",Participants!C85)</f>
        <v/>
      </c>
      <c r="V86">
        <f>IF(U86="","",IFERROR(SUMIF($B$6:$B$305,U86,$D$6:$D$305),0))</f>
        <v/>
      </c>
      <c r="W86">
        <f>IF(T86="","",COUNTIFS($V$6:$V$105,"&gt;"&amp;V86,$T$6:$T$105,"&lt;&gt;")+COUNTIFS($V$6:$V86,"="&amp;V86,$T$6:$T86,"&lt;&gt;"))</f>
        <v/>
      </c>
    </row>
    <row r="87">
      <c r="A87" s="43" t="n"/>
      <c r="B87" s="56" t="n"/>
      <c r="C87" s="56" t="n"/>
      <c r="D87" s="43" t="n"/>
      <c r="P87">
        <f>IF(B87="","",B87)</f>
        <v/>
      </c>
      <c r="Q87">
        <f>IF(C87="","",C87)</f>
        <v/>
      </c>
      <c r="R87">
        <f>IF(B87="","",SUMIF($B$6:$B$305,B87,$D$6:$D$305))</f>
        <v/>
      </c>
      <c r="S87">
        <f>IF(OR(B87="",COUNTIF($B$6:$B87,B87)&gt;1),"",SUMPRODUCT((COUNTIF($B$5:B87,$B$6:$B$305)=1)*($R$6:$R$305&gt;R87)*($B$6:$B$305&lt;&gt;""))+1)</f>
        <v/>
      </c>
      <c r="T87">
        <f>IF(Participants!B86="","",Participants!B86)</f>
        <v/>
      </c>
      <c r="U87">
        <f>IF(Participants!C86="","",Participants!C86)</f>
        <v/>
      </c>
      <c r="V87">
        <f>IF(U87="","",IFERROR(SUMIF($B$6:$B$305,U87,$D$6:$D$305),0))</f>
        <v/>
      </c>
      <c r="W87">
        <f>IF(T87="","",COUNTIFS($V$6:$V$105,"&gt;"&amp;V87,$T$6:$T$105,"&lt;&gt;")+COUNTIFS($V$6:$V87,"="&amp;V87,$T$6:$T87,"&lt;&gt;"))</f>
        <v/>
      </c>
    </row>
    <row r="88">
      <c r="A88" s="43" t="n"/>
      <c r="B88" s="56" t="n"/>
      <c r="C88" s="56" t="n"/>
      <c r="D88" s="43" t="n"/>
      <c r="P88">
        <f>IF(B88="","",B88)</f>
        <v/>
      </c>
      <c r="Q88">
        <f>IF(C88="","",C88)</f>
        <v/>
      </c>
      <c r="R88">
        <f>IF(B88="","",SUMIF($B$6:$B$305,B88,$D$6:$D$305))</f>
        <v/>
      </c>
      <c r="S88">
        <f>IF(OR(B88="",COUNTIF($B$6:$B88,B88)&gt;1),"",SUMPRODUCT((COUNTIF($B$5:B88,$B$6:$B$305)=1)*($R$6:$R$305&gt;R88)*($B$6:$B$305&lt;&gt;""))+1)</f>
        <v/>
      </c>
      <c r="T88">
        <f>IF(Participants!B87="","",Participants!B87)</f>
        <v/>
      </c>
      <c r="U88">
        <f>IF(Participants!C87="","",Participants!C87)</f>
        <v/>
      </c>
      <c r="V88">
        <f>IF(U88="","",IFERROR(SUMIF($B$6:$B$305,U88,$D$6:$D$305),0))</f>
        <v/>
      </c>
      <c r="W88">
        <f>IF(T88="","",COUNTIFS($V$6:$V$105,"&gt;"&amp;V88,$T$6:$T$105,"&lt;&gt;")+COUNTIFS($V$6:$V88,"="&amp;V88,$T$6:$T88,"&lt;&gt;"))</f>
        <v/>
      </c>
    </row>
    <row r="89">
      <c r="A89" s="43" t="n"/>
      <c r="B89" s="56" t="n"/>
      <c r="C89" s="56" t="n"/>
      <c r="D89" s="43" t="n"/>
      <c r="P89">
        <f>IF(B89="","",B89)</f>
        <v/>
      </c>
      <c r="Q89">
        <f>IF(C89="","",C89)</f>
        <v/>
      </c>
      <c r="R89">
        <f>IF(B89="","",SUMIF($B$6:$B$305,B89,$D$6:$D$305))</f>
        <v/>
      </c>
      <c r="S89">
        <f>IF(OR(B89="",COUNTIF($B$6:$B89,B89)&gt;1),"",SUMPRODUCT((COUNTIF($B$5:B89,$B$6:$B$305)=1)*($R$6:$R$305&gt;R89)*($B$6:$B$305&lt;&gt;""))+1)</f>
        <v/>
      </c>
      <c r="T89">
        <f>IF(Participants!B88="","",Participants!B88)</f>
        <v/>
      </c>
      <c r="U89">
        <f>IF(Participants!C88="","",Participants!C88)</f>
        <v/>
      </c>
      <c r="V89">
        <f>IF(U89="","",IFERROR(SUMIF($B$6:$B$305,U89,$D$6:$D$305),0))</f>
        <v/>
      </c>
      <c r="W89">
        <f>IF(T89="","",COUNTIFS($V$6:$V$105,"&gt;"&amp;V89,$T$6:$T$105,"&lt;&gt;")+COUNTIFS($V$6:$V89,"="&amp;V89,$T$6:$T89,"&lt;&gt;"))</f>
        <v/>
      </c>
    </row>
    <row r="90">
      <c r="A90" s="43" t="n"/>
      <c r="B90" s="56" t="n"/>
      <c r="C90" s="56" t="n"/>
      <c r="D90" s="43" t="n"/>
      <c r="P90">
        <f>IF(B90="","",B90)</f>
        <v/>
      </c>
      <c r="Q90">
        <f>IF(C90="","",C90)</f>
        <v/>
      </c>
      <c r="R90">
        <f>IF(B90="","",SUMIF($B$6:$B$305,B90,$D$6:$D$305))</f>
        <v/>
      </c>
      <c r="S90">
        <f>IF(OR(B90="",COUNTIF($B$6:$B90,B90)&gt;1),"",SUMPRODUCT((COUNTIF($B$5:B90,$B$6:$B$305)=1)*($R$6:$R$305&gt;R90)*($B$6:$B$305&lt;&gt;""))+1)</f>
        <v/>
      </c>
      <c r="T90">
        <f>IF(Participants!B89="","",Participants!B89)</f>
        <v/>
      </c>
      <c r="U90">
        <f>IF(Participants!C89="","",Participants!C89)</f>
        <v/>
      </c>
      <c r="V90">
        <f>IF(U90="","",IFERROR(SUMIF($B$6:$B$305,U90,$D$6:$D$305),0))</f>
        <v/>
      </c>
      <c r="W90">
        <f>IF(T90="","",COUNTIFS($V$6:$V$105,"&gt;"&amp;V90,$T$6:$T$105,"&lt;&gt;")+COUNTIFS($V$6:$V90,"="&amp;V90,$T$6:$T90,"&lt;&gt;"))</f>
        <v/>
      </c>
    </row>
    <row r="91">
      <c r="A91" s="43" t="n"/>
      <c r="B91" s="56" t="n"/>
      <c r="C91" s="56" t="n"/>
      <c r="D91" s="43" t="n"/>
      <c r="P91">
        <f>IF(B91="","",B91)</f>
        <v/>
      </c>
      <c r="Q91">
        <f>IF(C91="","",C91)</f>
        <v/>
      </c>
      <c r="R91">
        <f>IF(B91="","",SUMIF($B$6:$B$305,B91,$D$6:$D$305))</f>
        <v/>
      </c>
      <c r="S91">
        <f>IF(OR(B91="",COUNTIF($B$6:$B91,B91)&gt;1),"",SUMPRODUCT((COUNTIF($B$5:B91,$B$6:$B$305)=1)*($R$6:$R$305&gt;R91)*($B$6:$B$305&lt;&gt;""))+1)</f>
        <v/>
      </c>
      <c r="T91">
        <f>IF(Participants!B90="","",Participants!B90)</f>
        <v/>
      </c>
      <c r="U91">
        <f>IF(Participants!C90="","",Participants!C90)</f>
        <v/>
      </c>
      <c r="V91">
        <f>IF(U91="","",IFERROR(SUMIF($B$6:$B$305,U91,$D$6:$D$305),0))</f>
        <v/>
      </c>
      <c r="W91">
        <f>IF(T91="","",COUNTIFS($V$6:$V$105,"&gt;"&amp;V91,$T$6:$T$105,"&lt;&gt;")+COUNTIFS($V$6:$V91,"="&amp;V91,$T$6:$T91,"&lt;&gt;"))</f>
        <v/>
      </c>
    </row>
    <row r="92">
      <c r="A92" s="43" t="n"/>
      <c r="B92" s="56" t="n"/>
      <c r="C92" s="56" t="n"/>
      <c r="D92" s="43" t="n"/>
      <c r="P92">
        <f>IF(B92="","",B92)</f>
        <v/>
      </c>
      <c r="Q92">
        <f>IF(C92="","",C92)</f>
        <v/>
      </c>
      <c r="R92">
        <f>IF(B92="","",SUMIF($B$6:$B$305,B92,$D$6:$D$305))</f>
        <v/>
      </c>
      <c r="S92">
        <f>IF(OR(B92="",COUNTIF($B$6:$B92,B92)&gt;1),"",SUMPRODUCT((COUNTIF($B$5:B92,$B$6:$B$305)=1)*($R$6:$R$305&gt;R92)*($B$6:$B$305&lt;&gt;""))+1)</f>
        <v/>
      </c>
      <c r="T92">
        <f>IF(Participants!B91="","",Participants!B91)</f>
        <v/>
      </c>
      <c r="U92">
        <f>IF(Participants!C91="","",Participants!C91)</f>
        <v/>
      </c>
      <c r="V92">
        <f>IF(U92="","",IFERROR(SUMIF($B$6:$B$305,U92,$D$6:$D$305),0))</f>
        <v/>
      </c>
      <c r="W92">
        <f>IF(T92="","",COUNTIFS($V$6:$V$105,"&gt;"&amp;V92,$T$6:$T$105,"&lt;&gt;")+COUNTIFS($V$6:$V92,"="&amp;V92,$T$6:$T92,"&lt;&gt;"))</f>
        <v/>
      </c>
    </row>
    <row r="93">
      <c r="A93" s="43" t="n"/>
      <c r="B93" s="56" t="n"/>
      <c r="C93" s="56" t="n"/>
      <c r="D93" s="43" t="n"/>
      <c r="P93">
        <f>IF(B93="","",B93)</f>
        <v/>
      </c>
      <c r="Q93">
        <f>IF(C93="","",C93)</f>
        <v/>
      </c>
      <c r="R93">
        <f>IF(B93="","",SUMIF($B$6:$B$305,B93,$D$6:$D$305))</f>
        <v/>
      </c>
      <c r="S93">
        <f>IF(OR(B93="",COUNTIF($B$6:$B93,B93)&gt;1),"",SUMPRODUCT((COUNTIF($B$5:B93,$B$6:$B$305)=1)*($R$6:$R$305&gt;R93)*($B$6:$B$305&lt;&gt;""))+1)</f>
        <v/>
      </c>
      <c r="T93">
        <f>IF(Participants!B92="","",Participants!B92)</f>
        <v/>
      </c>
      <c r="U93">
        <f>IF(Participants!C92="","",Participants!C92)</f>
        <v/>
      </c>
      <c r="V93">
        <f>IF(U93="","",IFERROR(SUMIF($B$6:$B$305,U93,$D$6:$D$305),0))</f>
        <v/>
      </c>
      <c r="W93">
        <f>IF(T93="","",COUNTIFS($V$6:$V$105,"&gt;"&amp;V93,$T$6:$T$105,"&lt;&gt;")+COUNTIFS($V$6:$V93,"="&amp;V93,$T$6:$T93,"&lt;&gt;"))</f>
        <v/>
      </c>
    </row>
    <row r="94">
      <c r="A94" s="43" t="n"/>
      <c r="B94" s="56" t="n"/>
      <c r="C94" s="56" t="n"/>
      <c r="D94" s="43" t="n"/>
      <c r="P94">
        <f>IF(B94="","",B94)</f>
        <v/>
      </c>
      <c r="Q94">
        <f>IF(C94="","",C94)</f>
        <v/>
      </c>
      <c r="R94">
        <f>IF(B94="","",SUMIF($B$6:$B$305,B94,$D$6:$D$305))</f>
        <v/>
      </c>
      <c r="S94">
        <f>IF(OR(B94="",COUNTIF($B$6:$B94,B94)&gt;1),"",SUMPRODUCT((COUNTIF($B$5:B94,$B$6:$B$305)=1)*($R$6:$R$305&gt;R94)*($B$6:$B$305&lt;&gt;""))+1)</f>
        <v/>
      </c>
      <c r="T94">
        <f>IF(Participants!B93="","",Participants!B93)</f>
        <v/>
      </c>
      <c r="U94">
        <f>IF(Participants!C93="","",Participants!C93)</f>
        <v/>
      </c>
      <c r="V94">
        <f>IF(U94="","",IFERROR(SUMIF($B$6:$B$305,U94,$D$6:$D$305),0))</f>
        <v/>
      </c>
      <c r="W94">
        <f>IF(T94="","",COUNTIFS($V$6:$V$105,"&gt;"&amp;V94,$T$6:$T$105,"&lt;&gt;")+COUNTIFS($V$6:$V94,"="&amp;V94,$T$6:$T94,"&lt;&gt;"))</f>
        <v/>
      </c>
    </row>
    <row r="95">
      <c r="A95" s="43" t="n"/>
      <c r="B95" s="56" t="n"/>
      <c r="C95" s="56" t="n"/>
      <c r="D95" s="43" t="n"/>
      <c r="P95">
        <f>IF(B95="","",B95)</f>
        <v/>
      </c>
      <c r="Q95">
        <f>IF(C95="","",C95)</f>
        <v/>
      </c>
      <c r="R95">
        <f>IF(B95="","",SUMIF($B$6:$B$305,B95,$D$6:$D$305))</f>
        <v/>
      </c>
      <c r="S95">
        <f>IF(OR(B95="",COUNTIF($B$6:$B95,B95)&gt;1),"",SUMPRODUCT((COUNTIF($B$5:B95,$B$6:$B$305)=1)*($R$6:$R$305&gt;R95)*($B$6:$B$305&lt;&gt;""))+1)</f>
        <v/>
      </c>
      <c r="T95">
        <f>IF(Participants!B94="","",Participants!B94)</f>
        <v/>
      </c>
      <c r="U95">
        <f>IF(Participants!C94="","",Participants!C94)</f>
        <v/>
      </c>
      <c r="V95">
        <f>IF(U95="","",IFERROR(SUMIF($B$6:$B$305,U95,$D$6:$D$305),0))</f>
        <v/>
      </c>
      <c r="W95">
        <f>IF(T95="","",COUNTIFS($V$6:$V$105,"&gt;"&amp;V95,$T$6:$T$105,"&lt;&gt;")+COUNTIFS($V$6:$V95,"="&amp;V95,$T$6:$T95,"&lt;&gt;"))</f>
        <v/>
      </c>
    </row>
    <row r="96">
      <c r="A96" s="43" t="n"/>
      <c r="B96" s="56" t="n"/>
      <c r="C96" s="56" t="n"/>
      <c r="D96" s="43" t="n"/>
      <c r="P96">
        <f>IF(B96="","",B96)</f>
        <v/>
      </c>
      <c r="Q96">
        <f>IF(C96="","",C96)</f>
        <v/>
      </c>
      <c r="R96">
        <f>IF(B96="","",SUMIF($B$6:$B$305,B96,$D$6:$D$305))</f>
        <v/>
      </c>
      <c r="S96">
        <f>IF(OR(B96="",COUNTIF($B$6:$B96,B96)&gt;1),"",SUMPRODUCT((COUNTIF($B$5:B96,$B$6:$B$305)=1)*($R$6:$R$305&gt;R96)*($B$6:$B$305&lt;&gt;""))+1)</f>
        <v/>
      </c>
      <c r="T96">
        <f>IF(Participants!B95="","",Participants!B95)</f>
        <v/>
      </c>
      <c r="U96">
        <f>IF(Participants!C95="","",Participants!C95)</f>
        <v/>
      </c>
      <c r="V96">
        <f>IF(U96="","",IFERROR(SUMIF($B$6:$B$305,U96,$D$6:$D$305),0))</f>
        <v/>
      </c>
      <c r="W96">
        <f>IF(T96="","",COUNTIFS($V$6:$V$105,"&gt;"&amp;V96,$T$6:$T$105,"&lt;&gt;")+COUNTIFS($V$6:$V96,"="&amp;V96,$T$6:$T96,"&lt;&gt;"))</f>
        <v/>
      </c>
    </row>
    <row r="97">
      <c r="A97" s="43" t="n"/>
      <c r="B97" s="56" t="n"/>
      <c r="C97" s="56" t="n"/>
      <c r="D97" s="43" t="n"/>
      <c r="P97">
        <f>IF(B97="","",B97)</f>
        <v/>
      </c>
      <c r="Q97">
        <f>IF(C97="","",C97)</f>
        <v/>
      </c>
      <c r="R97">
        <f>IF(B97="","",SUMIF($B$6:$B$305,B97,$D$6:$D$305))</f>
        <v/>
      </c>
      <c r="S97">
        <f>IF(OR(B97="",COUNTIF($B$6:$B97,B97)&gt;1),"",SUMPRODUCT((COUNTIF($B$5:B97,$B$6:$B$305)=1)*($R$6:$R$305&gt;R97)*($B$6:$B$305&lt;&gt;""))+1)</f>
        <v/>
      </c>
      <c r="T97">
        <f>IF(Participants!B96="","",Participants!B96)</f>
        <v/>
      </c>
      <c r="U97">
        <f>IF(Participants!C96="","",Participants!C96)</f>
        <v/>
      </c>
      <c r="V97">
        <f>IF(U97="","",IFERROR(SUMIF($B$6:$B$305,U97,$D$6:$D$305),0))</f>
        <v/>
      </c>
      <c r="W97">
        <f>IF(T97="","",COUNTIFS($V$6:$V$105,"&gt;"&amp;V97,$T$6:$T$105,"&lt;&gt;")+COUNTIFS($V$6:$V97,"="&amp;V97,$T$6:$T97,"&lt;&gt;"))</f>
        <v/>
      </c>
    </row>
    <row r="98">
      <c r="A98" s="43" t="n"/>
      <c r="B98" s="56" t="n"/>
      <c r="C98" s="56" t="n"/>
      <c r="D98" s="43" t="n"/>
      <c r="P98">
        <f>IF(B98="","",B98)</f>
        <v/>
      </c>
      <c r="Q98">
        <f>IF(C98="","",C98)</f>
        <v/>
      </c>
      <c r="R98">
        <f>IF(B98="","",SUMIF($B$6:$B$305,B98,$D$6:$D$305))</f>
        <v/>
      </c>
      <c r="S98">
        <f>IF(OR(B98="",COUNTIF($B$6:$B98,B98)&gt;1),"",SUMPRODUCT((COUNTIF($B$5:B98,$B$6:$B$305)=1)*($R$6:$R$305&gt;R98)*($B$6:$B$305&lt;&gt;""))+1)</f>
        <v/>
      </c>
      <c r="T98">
        <f>IF(Participants!B97="","",Participants!B97)</f>
        <v/>
      </c>
      <c r="U98">
        <f>IF(Participants!C97="","",Participants!C97)</f>
        <v/>
      </c>
      <c r="V98">
        <f>IF(U98="","",IFERROR(SUMIF($B$6:$B$305,U98,$D$6:$D$305),0))</f>
        <v/>
      </c>
      <c r="W98">
        <f>IF(T98="","",COUNTIFS($V$6:$V$105,"&gt;"&amp;V98,$T$6:$T$105,"&lt;&gt;")+COUNTIFS($V$6:$V98,"="&amp;V98,$T$6:$T98,"&lt;&gt;"))</f>
        <v/>
      </c>
    </row>
    <row r="99">
      <c r="A99" s="43" t="n"/>
      <c r="B99" s="56" t="n"/>
      <c r="C99" s="56" t="n"/>
      <c r="D99" s="43" t="n"/>
      <c r="P99">
        <f>IF(B99="","",B99)</f>
        <v/>
      </c>
      <c r="Q99">
        <f>IF(C99="","",C99)</f>
        <v/>
      </c>
      <c r="R99">
        <f>IF(B99="","",SUMIF($B$6:$B$305,B99,$D$6:$D$305))</f>
        <v/>
      </c>
      <c r="S99">
        <f>IF(OR(B99="",COUNTIF($B$6:$B99,B99)&gt;1),"",SUMPRODUCT((COUNTIF($B$5:B99,$B$6:$B$305)=1)*($R$6:$R$305&gt;R99)*($B$6:$B$305&lt;&gt;""))+1)</f>
        <v/>
      </c>
      <c r="T99">
        <f>IF(Participants!B98="","",Participants!B98)</f>
        <v/>
      </c>
      <c r="U99">
        <f>IF(Participants!C98="","",Participants!C98)</f>
        <v/>
      </c>
      <c r="V99">
        <f>IF(U99="","",IFERROR(SUMIF($B$6:$B$305,U99,$D$6:$D$305),0))</f>
        <v/>
      </c>
      <c r="W99">
        <f>IF(T99="","",COUNTIFS($V$6:$V$105,"&gt;"&amp;V99,$T$6:$T$105,"&lt;&gt;")+COUNTIFS($V$6:$V99,"="&amp;V99,$T$6:$T99,"&lt;&gt;"))</f>
        <v/>
      </c>
    </row>
    <row r="100">
      <c r="A100" s="43" t="n"/>
      <c r="B100" s="56" t="n"/>
      <c r="C100" s="56" t="n"/>
      <c r="D100" s="43" t="n"/>
      <c r="P100">
        <f>IF(B100="","",B100)</f>
        <v/>
      </c>
      <c r="Q100">
        <f>IF(C100="","",C100)</f>
        <v/>
      </c>
      <c r="R100">
        <f>IF(B100="","",SUMIF($B$6:$B$305,B100,$D$6:$D$305))</f>
        <v/>
      </c>
      <c r="S100">
        <f>IF(OR(B100="",COUNTIF($B$6:$B100,B100)&gt;1),"",SUMPRODUCT((COUNTIF($B$5:B100,$B$6:$B$305)=1)*($R$6:$R$305&gt;R100)*($B$6:$B$305&lt;&gt;""))+1)</f>
        <v/>
      </c>
      <c r="T100">
        <f>IF(Participants!B99="","",Participants!B99)</f>
        <v/>
      </c>
      <c r="U100">
        <f>IF(Participants!C99="","",Participants!C99)</f>
        <v/>
      </c>
      <c r="V100">
        <f>IF(U100="","",IFERROR(SUMIF($B$6:$B$305,U100,$D$6:$D$305),0))</f>
        <v/>
      </c>
      <c r="W100">
        <f>IF(T100="","",COUNTIFS($V$6:$V$105,"&gt;"&amp;V100,$T$6:$T$105,"&lt;&gt;")+COUNTIFS($V$6:$V100,"="&amp;V100,$T$6:$T100,"&lt;&gt;"))</f>
        <v/>
      </c>
    </row>
    <row r="101">
      <c r="A101" s="43" t="n"/>
      <c r="B101" s="56" t="n"/>
      <c r="C101" s="56" t="n"/>
      <c r="D101" s="43" t="n"/>
      <c r="P101">
        <f>IF(B101="","",B101)</f>
        <v/>
      </c>
      <c r="Q101">
        <f>IF(C101="","",C101)</f>
        <v/>
      </c>
      <c r="R101">
        <f>IF(B101="","",SUMIF($B$6:$B$305,B101,$D$6:$D$305))</f>
        <v/>
      </c>
      <c r="S101">
        <f>IF(OR(B101="",COUNTIF($B$6:$B101,B101)&gt;1),"",SUMPRODUCT((COUNTIF($B$5:B101,$B$6:$B$305)=1)*($R$6:$R$305&gt;R101)*($B$6:$B$305&lt;&gt;""))+1)</f>
        <v/>
      </c>
      <c r="T101">
        <f>IF(Participants!B100="","",Participants!B100)</f>
        <v/>
      </c>
      <c r="U101">
        <f>IF(Participants!C100="","",Participants!C100)</f>
        <v/>
      </c>
      <c r="V101">
        <f>IF(U101="","",IFERROR(SUMIF($B$6:$B$305,U101,$D$6:$D$305),0))</f>
        <v/>
      </c>
      <c r="W101">
        <f>IF(T101="","",COUNTIFS($V$6:$V$105,"&gt;"&amp;V101,$T$6:$T$105,"&lt;&gt;")+COUNTIFS($V$6:$V101,"="&amp;V101,$T$6:$T101,"&lt;&gt;"))</f>
        <v/>
      </c>
    </row>
    <row r="102">
      <c r="A102" s="43" t="n"/>
      <c r="B102" s="56" t="n"/>
      <c r="C102" s="56" t="n"/>
      <c r="D102" s="43" t="n"/>
      <c r="P102">
        <f>IF(B102="","",B102)</f>
        <v/>
      </c>
      <c r="Q102">
        <f>IF(C102="","",C102)</f>
        <v/>
      </c>
      <c r="R102">
        <f>IF(B102="","",SUMIF($B$6:$B$305,B102,$D$6:$D$305))</f>
        <v/>
      </c>
      <c r="S102">
        <f>IF(OR(B102="",COUNTIF($B$6:$B102,B102)&gt;1),"",SUMPRODUCT((COUNTIF($B$5:B102,$B$6:$B$305)=1)*($R$6:$R$305&gt;R102)*($B$6:$B$305&lt;&gt;""))+1)</f>
        <v/>
      </c>
      <c r="T102">
        <f>IF(Participants!B101="","",Participants!B101)</f>
        <v/>
      </c>
      <c r="U102">
        <f>IF(Participants!C101="","",Participants!C101)</f>
        <v/>
      </c>
      <c r="V102">
        <f>IF(U102="","",IFERROR(SUMIF($B$6:$B$305,U102,$D$6:$D$305),0))</f>
        <v/>
      </c>
      <c r="W102">
        <f>IF(T102="","",COUNTIFS($V$6:$V$105,"&gt;"&amp;V102,$T$6:$T$105,"&lt;&gt;")+COUNTIFS($V$6:$V102,"="&amp;V102,$T$6:$T102,"&lt;&gt;"))</f>
        <v/>
      </c>
    </row>
    <row r="103">
      <c r="A103" s="43" t="n"/>
      <c r="B103" s="56" t="n"/>
      <c r="C103" s="56" t="n"/>
      <c r="D103" s="43" t="n"/>
      <c r="P103">
        <f>IF(B103="","",B103)</f>
        <v/>
      </c>
      <c r="Q103">
        <f>IF(C103="","",C103)</f>
        <v/>
      </c>
      <c r="R103">
        <f>IF(B103="","",SUMIF($B$6:$B$305,B103,$D$6:$D$305))</f>
        <v/>
      </c>
      <c r="S103">
        <f>IF(OR(B103="",COUNTIF($B$6:$B103,B103)&gt;1),"",SUMPRODUCT((COUNTIF($B$5:B103,$B$6:$B$305)=1)*($R$6:$R$305&gt;R103)*($B$6:$B$305&lt;&gt;""))+1)</f>
        <v/>
      </c>
      <c r="T103">
        <f>IF(Participants!B102="","",Participants!B102)</f>
        <v/>
      </c>
      <c r="U103">
        <f>IF(Participants!C102="","",Participants!C102)</f>
        <v/>
      </c>
      <c r="V103">
        <f>IF(U103="","",IFERROR(SUMIF($B$6:$B$305,U103,$D$6:$D$305),0))</f>
        <v/>
      </c>
      <c r="W103">
        <f>IF(T103="","",COUNTIFS($V$6:$V$105,"&gt;"&amp;V103,$T$6:$T$105,"&lt;&gt;")+COUNTIFS($V$6:$V103,"="&amp;V103,$T$6:$T103,"&lt;&gt;"))</f>
        <v/>
      </c>
    </row>
    <row r="104">
      <c r="A104" s="43" t="n"/>
      <c r="B104" s="56" t="n"/>
      <c r="C104" s="56" t="n"/>
      <c r="D104" s="43" t="n"/>
      <c r="P104">
        <f>IF(B104="","",B104)</f>
        <v/>
      </c>
      <c r="Q104">
        <f>IF(C104="","",C104)</f>
        <v/>
      </c>
      <c r="R104">
        <f>IF(B104="","",SUMIF($B$6:$B$305,B104,$D$6:$D$305))</f>
        <v/>
      </c>
      <c r="S104">
        <f>IF(OR(B104="",COUNTIF($B$6:$B104,B104)&gt;1),"",SUMPRODUCT((COUNTIF($B$5:B104,$B$6:$B$305)=1)*($R$6:$R$305&gt;R104)*($B$6:$B$305&lt;&gt;""))+1)</f>
        <v/>
      </c>
      <c r="T104">
        <f>IF(Participants!B103="","",Participants!B103)</f>
        <v/>
      </c>
      <c r="U104">
        <f>IF(Participants!C103="","",Participants!C103)</f>
        <v/>
      </c>
      <c r="V104">
        <f>IF(U104="","",IFERROR(SUMIF($B$6:$B$305,U104,$D$6:$D$305),0))</f>
        <v/>
      </c>
      <c r="W104">
        <f>IF(T104="","",COUNTIFS($V$6:$V$105,"&gt;"&amp;V104,$T$6:$T$105,"&lt;&gt;")+COUNTIFS($V$6:$V104,"="&amp;V104,$T$6:$T104,"&lt;&gt;"))</f>
        <v/>
      </c>
    </row>
    <row r="105">
      <c r="A105" s="43" t="n"/>
      <c r="B105" s="56" t="n"/>
      <c r="C105" s="56" t="n"/>
      <c r="D105" s="43" t="n"/>
      <c r="P105">
        <f>IF(B105="","",B105)</f>
        <v/>
      </c>
      <c r="Q105">
        <f>IF(C105="","",C105)</f>
        <v/>
      </c>
      <c r="R105">
        <f>IF(B105="","",SUMIF($B$6:$B$305,B105,$D$6:$D$305))</f>
        <v/>
      </c>
      <c r="S105">
        <f>IF(OR(B105="",COUNTIF($B$6:$B105,B105)&gt;1),"",SUMPRODUCT((COUNTIF($B$5:B105,$B$6:$B$305)=1)*($R$6:$R$305&gt;R105)*($B$6:$B$305&lt;&gt;""))+1)</f>
        <v/>
      </c>
      <c r="T105">
        <f>IF(Participants!B104="","",Participants!B104)</f>
        <v/>
      </c>
      <c r="U105">
        <f>IF(Participants!C104="","",Participants!C104)</f>
        <v/>
      </c>
      <c r="V105">
        <f>IF(U105="","",IFERROR(SUMIF($B$6:$B$305,U105,$D$6:$D$305),0))</f>
        <v/>
      </c>
      <c r="W105">
        <f>IF(T105="","",COUNTIFS($V$6:$V$105,"&gt;"&amp;V105,$T$6:$T$105,"&lt;&gt;")+COUNTIFS($V$6:$V105,"="&amp;V105,$T$6:$T105,"&lt;&gt;"))</f>
        <v/>
      </c>
    </row>
    <row r="106">
      <c r="A106" s="43" t="n"/>
      <c r="B106" s="56" t="n"/>
      <c r="C106" s="56" t="n"/>
      <c r="D106" s="43" t="n"/>
      <c r="P106">
        <f>IF(B106="","",B106)</f>
        <v/>
      </c>
      <c r="Q106">
        <f>IF(C106="","",C106)</f>
        <v/>
      </c>
      <c r="R106">
        <f>IF(B106="","",SUMIF($B$6:$B$305,B106,$D$6:$D$305))</f>
        <v/>
      </c>
      <c r="S106">
        <f>IF(OR(B106="",COUNTIF($B$6:$B106,B106)&gt;1),"",SUMPRODUCT((COUNTIF($B$5:B106,$B$6:$B$305)=1)*($R$6:$R$305&gt;R106)*($B$6:$B$305&lt;&gt;""))+1)</f>
        <v/>
      </c>
    </row>
    <row r="107">
      <c r="A107" s="43" t="n"/>
      <c r="B107" s="56" t="n"/>
      <c r="C107" s="56" t="n"/>
      <c r="D107" s="43" t="n"/>
      <c r="P107">
        <f>IF(B107="","",B107)</f>
        <v/>
      </c>
      <c r="Q107">
        <f>IF(C107="","",C107)</f>
        <v/>
      </c>
      <c r="R107">
        <f>IF(B107="","",SUMIF($B$6:$B$305,B107,$D$6:$D$305))</f>
        <v/>
      </c>
      <c r="S107">
        <f>IF(OR(B107="",COUNTIF($B$6:$B107,B107)&gt;1),"",SUMPRODUCT((COUNTIF($B$5:B107,$B$6:$B$305)=1)*($R$6:$R$305&gt;R107)*($B$6:$B$305&lt;&gt;""))+1)</f>
        <v/>
      </c>
    </row>
    <row r="108">
      <c r="A108" s="43" t="n"/>
      <c r="B108" s="56" t="n"/>
      <c r="C108" s="56" t="n"/>
      <c r="D108" s="43" t="n"/>
      <c r="P108">
        <f>IF(B108="","",B108)</f>
        <v/>
      </c>
      <c r="Q108">
        <f>IF(C108="","",C108)</f>
        <v/>
      </c>
      <c r="R108">
        <f>IF(B108="","",SUMIF($B$6:$B$305,B108,$D$6:$D$305))</f>
        <v/>
      </c>
      <c r="S108">
        <f>IF(OR(B108="",COUNTIF($B$6:$B108,B108)&gt;1),"",SUMPRODUCT((COUNTIF($B$5:B108,$B$6:$B$305)=1)*($R$6:$R$305&gt;R108)*($B$6:$B$305&lt;&gt;""))+1)</f>
        <v/>
      </c>
    </row>
    <row r="109">
      <c r="A109" s="43" t="n"/>
      <c r="B109" s="56" t="n"/>
      <c r="C109" s="56" t="n"/>
      <c r="D109" s="43" t="n"/>
      <c r="P109">
        <f>IF(B109="","",B109)</f>
        <v/>
      </c>
      <c r="Q109">
        <f>IF(C109="","",C109)</f>
        <v/>
      </c>
      <c r="R109">
        <f>IF(B109="","",SUMIF($B$6:$B$305,B109,$D$6:$D$305))</f>
        <v/>
      </c>
      <c r="S109">
        <f>IF(OR(B109="",COUNTIF($B$6:$B109,B109)&gt;1),"",SUMPRODUCT((COUNTIF($B$5:B109,$B$6:$B$305)=1)*($R$6:$R$305&gt;R109)*($B$6:$B$305&lt;&gt;""))+1)</f>
        <v/>
      </c>
    </row>
    <row r="110">
      <c r="A110" s="43" t="n"/>
      <c r="B110" s="56" t="n"/>
      <c r="C110" s="56" t="n"/>
      <c r="D110" s="43" t="n"/>
      <c r="P110">
        <f>IF(B110="","",B110)</f>
        <v/>
      </c>
      <c r="Q110">
        <f>IF(C110="","",C110)</f>
        <v/>
      </c>
      <c r="R110">
        <f>IF(B110="","",SUMIF($B$6:$B$305,B110,$D$6:$D$305))</f>
        <v/>
      </c>
      <c r="S110">
        <f>IF(OR(B110="",COUNTIF($B$6:$B110,B110)&gt;1),"",SUMPRODUCT((COUNTIF($B$5:B110,$B$6:$B$305)=1)*($R$6:$R$305&gt;R110)*($B$6:$B$305&lt;&gt;""))+1)</f>
        <v/>
      </c>
    </row>
    <row r="111">
      <c r="A111" s="43" t="n"/>
      <c r="B111" s="56" t="n"/>
      <c r="C111" s="56" t="n"/>
      <c r="D111" s="43" t="n"/>
      <c r="P111">
        <f>IF(B111="","",B111)</f>
        <v/>
      </c>
      <c r="Q111">
        <f>IF(C111="","",C111)</f>
        <v/>
      </c>
      <c r="R111">
        <f>IF(B111="","",SUMIF($B$6:$B$305,B111,$D$6:$D$305))</f>
        <v/>
      </c>
      <c r="S111">
        <f>IF(OR(B111="",COUNTIF($B$6:$B111,B111)&gt;1),"",SUMPRODUCT((COUNTIF($B$5:B111,$B$6:$B$305)=1)*($R$6:$R$305&gt;R111)*($B$6:$B$305&lt;&gt;""))+1)</f>
        <v/>
      </c>
    </row>
    <row r="112">
      <c r="A112" s="43" t="n"/>
      <c r="B112" s="56" t="n"/>
      <c r="C112" s="56" t="n"/>
      <c r="D112" s="43" t="n"/>
      <c r="P112">
        <f>IF(B112="","",B112)</f>
        <v/>
      </c>
      <c r="Q112">
        <f>IF(C112="","",C112)</f>
        <v/>
      </c>
      <c r="R112">
        <f>IF(B112="","",SUMIF($B$6:$B$305,B112,$D$6:$D$305))</f>
        <v/>
      </c>
      <c r="S112">
        <f>IF(OR(B112="",COUNTIF($B$6:$B112,B112)&gt;1),"",SUMPRODUCT((COUNTIF($B$5:B112,$B$6:$B$305)=1)*($R$6:$R$305&gt;R112)*($B$6:$B$305&lt;&gt;""))+1)</f>
        <v/>
      </c>
    </row>
    <row r="113">
      <c r="A113" s="43" t="n"/>
      <c r="B113" s="56" t="n"/>
      <c r="C113" s="56" t="n"/>
      <c r="D113" s="43" t="n"/>
      <c r="P113">
        <f>IF(B113="","",B113)</f>
        <v/>
      </c>
      <c r="Q113">
        <f>IF(C113="","",C113)</f>
        <v/>
      </c>
      <c r="R113">
        <f>IF(B113="","",SUMIF($B$6:$B$305,B113,$D$6:$D$305))</f>
        <v/>
      </c>
      <c r="S113">
        <f>IF(OR(B113="",COUNTIF($B$6:$B113,B113)&gt;1),"",SUMPRODUCT((COUNTIF($B$5:B113,$B$6:$B$305)=1)*($R$6:$R$305&gt;R113)*($B$6:$B$305&lt;&gt;""))+1)</f>
        <v/>
      </c>
    </row>
    <row r="114">
      <c r="A114" s="43" t="n"/>
      <c r="B114" s="56" t="n"/>
      <c r="C114" s="56" t="n"/>
      <c r="D114" s="43" t="n"/>
      <c r="P114">
        <f>IF(B114="","",B114)</f>
        <v/>
      </c>
      <c r="Q114">
        <f>IF(C114="","",C114)</f>
        <v/>
      </c>
      <c r="R114">
        <f>IF(B114="","",SUMIF($B$6:$B$305,B114,$D$6:$D$305))</f>
        <v/>
      </c>
      <c r="S114">
        <f>IF(OR(B114="",COUNTIF($B$6:$B114,B114)&gt;1),"",SUMPRODUCT((COUNTIF($B$5:B114,$B$6:$B$305)=1)*($R$6:$R$305&gt;R114)*($B$6:$B$305&lt;&gt;""))+1)</f>
        <v/>
      </c>
    </row>
    <row r="115">
      <c r="A115" s="43" t="n"/>
      <c r="B115" s="56" t="n"/>
      <c r="C115" s="56" t="n"/>
      <c r="D115" s="43" t="n"/>
      <c r="P115">
        <f>IF(B115="","",B115)</f>
        <v/>
      </c>
      <c r="Q115">
        <f>IF(C115="","",C115)</f>
        <v/>
      </c>
      <c r="R115">
        <f>IF(B115="","",SUMIF($B$6:$B$305,B115,$D$6:$D$305))</f>
        <v/>
      </c>
      <c r="S115">
        <f>IF(OR(B115="",COUNTIF($B$6:$B115,B115)&gt;1),"",SUMPRODUCT((COUNTIF($B$5:B115,$B$6:$B$305)=1)*($R$6:$R$305&gt;R115)*($B$6:$B$305&lt;&gt;""))+1)</f>
        <v/>
      </c>
    </row>
    <row r="116">
      <c r="A116" s="43" t="n"/>
      <c r="B116" s="56" t="n"/>
      <c r="C116" s="56" t="n"/>
      <c r="D116" s="43" t="n"/>
      <c r="P116">
        <f>IF(B116="","",B116)</f>
        <v/>
      </c>
      <c r="Q116">
        <f>IF(C116="","",C116)</f>
        <v/>
      </c>
      <c r="R116">
        <f>IF(B116="","",SUMIF($B$6:$B$305,B116,$D$6:$D$305))</f>
        <v/>
      </c>
      <c r="S116">
        <f>IF(OR(B116="",COUNTIF($B$6:$B116,B116)&gt;1),"",SUMPRODUCT((COUNTIF($B$5:B116,$B$6:$B$305)=1)*($R$6:$R$305&gt;R116)*($B$6:$B$305&lt;&gt;""))+1)</f>
        <v/>
      </c>
    </row>
    <row r="117">
      <c r="A117" s="43" t="n"/>
      <c r="B117" s="56" t="n"/>
      <c r="C117" s="56" t="n"/>
      <c r="D117" s="43" t="n"/>
      <c r="P117">
        <f>IF(B117="","",B117)</f>
        <v/>
      </c>
      <c r="Q117">
        <f>IF(C117="","",C117)</f>
        <v/>
      </c>
      <c r="R117">
        <f>IF(B117="","",SUMIF($B$6:$B$305,B117,$D$6:$D$305))</f>
        <v/>
      </c>
      <c r="S117">
        <f>IF(OR(B117="",COUNTIF($B$6:$B117,B117)&gt;1),"",SUMPRODUCT((COUNTIF($B$5:B117,$B$6:$B$305)=1)*($R$6:$R$305&gt;R117)*($B$6:$B$305&lt;&gt;""))+1)</f>
        <v/>
      </c>
    </row>
    <row r="118">
      <c r="A118" s="43" t="n"/>
      <c r="B118" s="56" t="n"/>
      <c r="C118" s="56" t="n"/>
      <c r="D118" s="43" t="n"/>
      <c r="P118">
        <f>IF(B118="","",B118)</f>
        <v/>
      </c>
      <c r="Q118">
        <f>IF(C118="","",C118)</f>
        <v/>
      </c>
      <c r="R118">
        <f>IF(B118="","",SUMIF($B$6:$B$305,B118,$D$6:$D$305))</f>
        <v/>
      </c>
      <c r="S118">
        <f>IF(OR(B118="",COUNTIF($B$6:$B118,B118)&gt;1),"",SUMPRODUCT((COUNTIF($B$5:B118,$B$6:$B$305)=1)*($R$6:$R$305&gt;R118)*($B$6:$B$305&lt;&gt;""))+1)</f>
        <v/>
      </c>
    </row>
    <row r="119">
      <c r="A119" s="43" t="n"/>
      <c r="B119" s="56" t="n"/>
      <c r="C119" s="56" t="n"/>
      <c r="D119" s="43" t="n"/>
      <c r="P119">
        <f>IF(B119="","",B119)</f>
        <v/>
      </c>
      <c r="Q119">
        <f>IF(C119="","",C119)</f>
        <v/>
      </c>
      <c r="R119">
        <f>IF(B119="","",SUMIF($B$6:$B$305,B119,$D$6:$D$305))</f>
        <v/>
      </c>
      <c r="S119">
        <f>IF(OR(B119="",COUNTIF($B$6:$B119,B119)&gt;1),"",SUMPRODUCT((COUNTIF($B$5:B119,$B$6:$B$305)=1)*($R$6:$R$305&gt;R119)*($B$6:$B$305&lt;&gt;""))+1)</f>
        <v/>
      </c>
    </row>
    <row r="120">
      <c r="A120" s="43" t="n"/>
      <c r="B120" s="56" t="n"/>
      <c r="C120" s="56" t="n"/>
      <c r="D120" s="43" t="n"/>
      <c r="P120">
        <f>IF(B120="","",B120)</f>
        <v/>
      </c>
      <c r="Q120">
        <f>IF(C120="","",C120)</f>
        <v/>
      </c>
      <c r="R120">
        <f>IF(B120="","",SUMIF($B$6:$B$305,B120,$D$6:$D$305))</f>
        <v/>
      </c>
      <c r="S120">
        <f>IF(OR(B120="",COUNTIF($B$6:$B120,B120)&gt;1),"",SUMPRODUCT((COUNTIF($B$5:B120,$B$6:$B$305)=1)*($R$6:$R$305&gt;R120)*($B$6:$B$305&lt;&gt;""))+1)</f>
        <v/>
      </c>
    </row>
    <row r="121">
      <c r="A121" s="43" t="n"/>
      <c r="B121" s="56" t="n"/>
      <c r="C121" s="56" t="n"/>
      <c r="D121" s="43" t="n"/>
      <c r="P121">
        <f>IF(B121="","",B121)</f>
        <v/>
      </c>
      <c r="Q121">
        <f>IF(C121="","",C121)</f>
        <v/>
      </c>
      <c r="R121">
        <f>IF(B121="","",SUMIF($B$6:$B$305,B121,$D$6:$D$305))</f>
        <v/>
      </c>
      <c r="S121">
        <f>IF(OR(B121="",COUNTIF($B$6:$B121,B121)&gt;1),"",SUMPRODUCT((COUNTIF($B$5:B121,$B$6:$B$305)=1)*($R$6:$R$305&gt;R121)*($B$6:$B$305&lt;&gt;""))+1)</f>
        <v/>
      </c>
    </row>
    <row r="122">
      <c r="A122" s="43" t="n"/>
      <c r="B122" s="56" t="n"/>
      <c r="C122" s="56" t="n"/>
      <c r="D122" s="43" t="n"/>
      <c r="P122">
        <f>IF(B122="","",B122)</f>
        <v/>
      </c>
      <c r="Q122">
        <f>IF(C122="","",C122)</f>
        <v/>
      </c>
      <c r="R122">
        <f>IF(B122="","",SUMIF($B$6:$B$305,B122,$D$6:$D$305))</f>
        <v/>
      </c>
      <c r="S122">
        <f>IF(OR(B122="",COUNTIF($B$6:$B122,B122)&gt;1),"",SUMPRODUCT((COUNTIF($B$5:B122,$B$6:$B$305)=1)*($R$6:$R$305&gt;R122)*($B$6:$B$305&lt;&gt;""))+1)</f>
        <v/>
      </c>
    </row>
    <row r="123">
      <c r="A123" s="43" t="n"/>
      <c r="B123" s="56" t="n"/>
      <c r="C123" s="56" t="n"/>
      <c r="D123" s="43" t="n"/>
      <c r="P123">
        <f>IF(B123="","",B123)</f>
        <v/>
      </c>
      <c r="Q123">
        <f>IF(C123="","",C123)</f>
        <v/>
      </c>
      <c r="R123">
        <f>IF(B123="","",SUMIF($B$6:$B$305,B123,$D$6:$D$305))</f>
        <v/>
      </c>
      <c r="S123">
        <f>IF(OR(B123="",COUNTIF($B$6:$B123,B123)&gt;1),"",SUMPRODUCT((COUNTIF($B$5:B123,$B$6:$B$305)=1)*($R$6:$R$305&gt;R123)*($B$6:$B$305&lt;&gt;""))+1)</f>
        <v/>
      </c>
    </row>
    <row r="124">
      <c r="A124" s="43" t="n"/>
      <c r="B124" s="56" t="n"/>
      <c r="C124" s="56" t="n"/>
      <c r="D124" s="43" t="n"/>
      <c r="P124">
        <f>IF(B124="","",B124)</f>
        <v/>
      </c>
      <c r="Q124">
        <f>IF(C124="","",C124)</f>
        <v/>
      </c>
      <c r="R124">
        <f>IF(B124="","",SUMIF($B$6:$B$305,B124,$D$6:$D$305))</f>
        <v/>
      </c>
      <c r="S124">
        <f>IF(OR(B124="",COUNTIF($B$6:$B124,B124)&gt;1),"",SUMPRODUCT((COUNTIF($B$5:B124,$B$6:$B$305)=1)*($R$6:$R$305&gt;R124)*($B$6:$B$305&lt;&gt;""))+1)</f>
        <v/>
      </c>
    </row>
    <row r="125">
      <c r="A125" s="43" t="n"/>
      <c r="B125" s="56" t="n"/>
      <c r="C125" s="56" t="n"/>
      <c r="D125" s="43" t="n"/>
      <c r="P125">
        <f>IF(B125="","",B125)</f>
        <v/>
      </c>
      <c r="Q125">
        <f>IF(C125="","",C125)</f>
        <v/>
      </c>
      <c r="R125">
        <f>IF(B125="","",SUMIF($B$6:$B$305,B125,$D$6:$D$305))</f>
        <v/>
      </c>
      <c r="S125">
        <f>IF(OR(B125="",COUNTIF($B$6:$B125,B125)&gt;1),"",SUMPRODUCT((COUNTIF($B$5:B125,$B$6:$B$305)=1)*($R$6:$R$305&gt;R125)*($B$6:$B$305&lt;&gt;""))+1)</f>
        <v/>
      </c>
    </row>
    <row r="126">
      <c r="A126" s="43" t="n"/>
      <c r="B126" s="56" t="n"/>
      <c r="C126" s="56" t="n"/>
      <c r="D126" s="43" t="n"/>
      <c r="P126">
        <f>IF(B126="","",B126)</f>
        <v/>
      </c>
      <c r="Q126">
        <f>IF(C126="","",C126)</f>
        <v/>
      </c>
      <c r="R126">
        <f>IF(B126="","",SUMIF($B$6:$B$305,B126,$D$6:$D$305))</f>
        <v/>
      </c>
      <c r="S126">
        <f>IF(OR(B126="",COUNTIF($B$6:$B126,B126)&gt;1),"",SUMPRODUCT((COUNTIF($B$5:B126,$B$6:$B$305)=1)*($R$6:$R$305&gt;R126)*($B$6:$B$305&lt;&gt;""))+1)</f>
        <v/>
      </c>
    </row>
    <row r="127">
      <c r="A127" s="43" t="n"/>
      <c r="B127" s="56" t="n"/>
      <c r="C127" s="56" t="n"/>
      <c r="D127" s="43" t="n"/>
      <c r="P127">
        <f>IF(B127="","",B127)</f>
        <v/>
      </c>
      <c r="Q127">
        <f>IF(C127="","",C127)</f>
        <v/>
      </c>
      <c r="R127">
        <f>IF(B127="","",SUMIF($B$6:$B$305,B127,$D$6:$D$305))</f>
        <v/>
      </c>
      <c r="S127">
        <f>IF(OR(B127="",COUNTIF($B$6:$B127,B127)&gt;1),"",SUMPRODUCT((COUNTIF($B$5:B127,$B$6:$B$305)=1)*($R$6:$R$305&gt;R127)*($B$6:$B$305&lt;&gt;""))+1)</f>
        <v/>
      </c>
    </row>
    <row r="128">
      <c r="A128" s="43" t="n"/>
      <c r="B128" s="56" t="n"/>
      <c r="C128" s="56" t="n"/>
      <c r="D128" s="43" t="n"/>
      <c r="P128">
        <f>IF(B128="","",B128)</f>
        <v/>
      </c>
      <c r="Q128">
        <f>IF(C128="","",C128)</f>
        <v/>
      </c>
      <c r="R128">
        <f>IF(B128="","",SUMIF($B$6:$B$305,B128,$D$6:$D$305))</f>
        <v/>
      </c>
      <c r="S128">
        <f>IF(OR(B128="",COUNTIF($B$6:$B128,B128)&gt;1),"",SUMPRODUCT((COUNTIF($B$5:B128,$B$6:$B$305)=1)*($R$6:$R$305&gt;R128)*($B$6:$B$305&lt;&gt;""))+1)</f>
        <v/>
      </c>
    </row>
    <row r="129">
      <c r="A129" s="43" t="n"/>
      <c r="B129" s="56" t="n"/>
      <c r="C129" s="56" t="n"/>
      <c r="D129" s="43" t="n"/>
      <c r="P129">
        <f>IF(B129="","",B129)</f>
        <v/>
      </c>
      <c r="Q129">
        <f>IF(C129="","",C129)</f>
        <v/>
      </c>
      <c r="R129">
        <f>IF(B129="","",SUMIF($B$6:$B$305,B129,$D$6:$D$305))</f>
        <v/>
      </c>
      <c r="S129">
        <f>IF(OR(B129="",COUNTIF($B$6:$B129,B129)&gt;1),"",SUMPRODUCT((COUNTIF($B$5:B129,$B$6:$B$305)=1)*($R$6:$R$305&gt;R129)*($B$6:$B$305&lt;&gt;""))+1)</f>
        <v/>
      </c>
    </row>
    <row r="130">
      <c r="A130" s="43" t="n"/>
      <c r="B130" s="56" t="n"/>
      <c r="C130" s="56" t="n"/>
      <c r="D130" s="43" t="n"/>
      <c r="P130">
        <f>IF(B130="","",B130)</f>
        <v/>
      </c>
      <c r="Q130">
        <f>IF(C130="","",C130)</f>
        <v/>
      </c>
      <c r="R130">
        <f>IF(B130="","",SUMIF($B$6:$B$305,B130,$D$6:$D$305))</f>
        <v/>
      </c>
      <c r="S130">
        <f>IF(OR(B130="",COUNTIF($B$6:$B130,B130)&gt;1),"",SUMPRODUCT((COUNTIF($B$5:B130,$B$6:$B$305)=1)*($R$6:$R$305&gt;R130)*($B$6:$B$305&lt;&gt;""))+1)</f>
        <v/>
      </c>
    </row>
    <row r="131">
      <c r="A131" s="43" t="n"/>
      <c r="B131" s="56" t="n"/>
      <c r="C131" s="56" t="n"/>
      <c r="D131" s="43" t="n"/>
      <c r="P131">
        <f>IF(B131="","",B131)</f>
        <v/>
      </c>
      <c r="Q131">
        <f>IF(C131="","",C131)</f>
        <v/>
      </c>
      <c r="R131">
        <f>IF(B131="","",SUMIF($B$6:$B$305,B131,$D$6:$D$305))</f>
        <v/>
      </c>
      <c r="S131">
        <f>IF(OR(B131="",COUNTIF($B$6:$B131,B131)&gt;1),"",SUMPRODUCT((COUNTIF($B$5:B131,$B$6:$B$305)=1)*($R$6:$R$305&gt;R131)*($B$6:$B$305&lt;&gt;""))+1)</f>
        <v/>
      </c>
    </row>
    <row r="132">
      <c r="A132" s="43" t="n"/>
      <c r="B132" s="56" t="n"/>
      <c r="C132" s="56" t="n"/>
      <c r="D132" s="43" t="n"/>
      <c r="P132">
        <f>IF(B132="","",B132)</f>
        <v/>
      </c>
      <c r="Q132">
        <f>IF(C132="","",C132)</f>
        <v/>
      </c>
      <c r="R132">
        <f>IF(B132="","",SUMIF($B$6:$B$305,B132,$D$6:$D$305))</f>
        <v/>
      </c>
      <c r="S132">
        <f>IF(OR(B132="",COUNTIF($B$6:$B132,B132)&gt;1),"",SUMPRODUCT((COUNTIF($B$5:B132,$B$6:$B$305)=1)*($R$6:$R$305&gt;R132)*($B$6:$B$305&lt;&gt;""))+1)</f>
        <v/>
      </c>
    </row>
    <row r="133">
      <c r="A133" s="43" t="n"/>
      <c r="B133" s="56" t="n"/>
      <c r="C133" s="56" t="n"/>
      <c r="D133" s="43" t="n"/>
      <c r="P133">
        <f>IF(B133="","",B133)</f>
        <v/>
      </c>
      <c r="Q133">
        <f>IF(C133="","",C133)</f>
        <v/>
      </c>
      <c r="R133">
        <f>IF(B133="","",SUMIF($B$6:$B$305,B133,$D$6:$D$305))</f>
        <v/>
      </c>
      <c r="S133">
        <f>IF(OR(B133="",COUNTIF($B$6:$B133,B133)&gt;1),"",SUMPRODUCT((COUNTIF($B$5:B133,$B$6:$B$305)=1)*($R$6:$R$305&gt;R133)*($B$6:$B$305&lt;&gt;""))+1)</f>
        <v/>
      </c>
    </row>
    <row r="134">
      <c r="A134" s="43" t="n"/>
      <c r="B134" s="56" t="n"/>
      <c r="C134" s="56" t="n"/>
      <c r="D134" s="43" t="n"/>
      <c r="P134">
        <f>IF(B134="","",B134)</f>
        <v/>
      </c>
      <c r="Q134">
        <f>IF(C134="","",C134)</f>
        <v/>
      </c>
      <c r="R134">
        <f>IF(B134="","",SUMIF($B$6:$B$305,B134,$D$6:$D$305))</f>
        <v/>
      </c>
      <c r="S134">
        <f>IF(OR(B134="",COUNTIF($B$6:$B134,B134)&gt;1),"",SUMPRODUCT((COUNTIF($B$5:B134,$B$6:$B$305)=1)*($R$6:$R$305&gt;R134)*($B$6:$B$305&lt;&gt;""))+1)</f>
        <v/>
      </c>
    </row>
    <row r="135">
      <c r="A135" s="43" t="n"/>
      <c r="B135" s="56" t="n"/>
      <c r="C135" s="56" t="n"/>
      <c r="D135" s="43" t="n"/>
      <c r="P135">
        <f>IF(B135="","",B135)</f>
        <v/>
      </c>
      <c r="Q135">
        <f>IF(C135="","",C135)</f>
        <v/>
      </c>
      <c r="R135">
        <f>IF(B135="","",SUMIF($B$6:$B$305,B135,$D$6:$D$305))</f>
        <v/>
      </c>
      <c r="S135">
        <f>IF(OR(B135="",COUNTIF($B$6:$B135,B135)&gt;1),"",SUMPRODUCT((COUNTIF($B$5:B135,$B$6:$B$305)=1)*($R$6:$R$305&gt;R135)*($B$6:$B$305&lt;&gt;""))+1)</f>
        <v/>
      </c>
    </row>
    <row r="136">
      <c r="A136" s="43" t="n"/>
      <c r="B136" s="56" t="n"/>
      <c r="C136" s="56" t="n"/>
      <c r="D136" s="43" t="n"/>
      <c r="P136">
        <f>IF(B136="","",B136)</f>
        <v/>
      </c>
      <c r="Q136">
        <f>IF(C136="","",C136)</f>
        <v/>
      </c>
      <c r="R136">
        <f>IF(B136="","",SUMIF($B$6:$B$305,B136,$D$6:$D$305))</f>
        <v/>
      </c>
      <c r="S136">
        <f>IF(OR(B136="",COUNTIF($B$6:$B136,B136)&gt;1),"",SUMPRODUCT((COUNTIF($B$5:B136,$B$6:$B$305)=1)*($R$6:$R$305&gt;R136)*($B$6:$B$305&lt;&gt;""))+1)</f>
        <v/>
      </c>
    </row>
    <row r="137">
      <c r="A137" s="43" t="n"/>
      <c r="B137" s="56" t="n"/>
      <c r="C137" s="56" t="n"/>
      <c r="D137" s="43" t="n"/>
      <c r="P137">
        <f>IF(B137="","",B137)</f>
        <v/>
      </c>
      <c r="Q137">
        <f>IF(C137="","",C137)</f>
        <v/>
      </c>
      <c r="R137">
        <f>IF(B137="","",SUMIF($B$6:$B$305,B137,$D$6:$D$305))</f>
        <v/>
      </c>
      <c r="S137">
        <f>IF(OR(B137="",COUNTIF($B$6:$B137,B137)&gt;1),"",SUMPRODUCT((COUNTIF($B$5:B137,$B$6:$B$305)=1)*($R$6:$R$305&gt;R137)*($B$6:$B$305&lt;&gt;""))+1)</f>
        <v/>
      </c>
    </row>
    <row r="138">
      <c r="A138" s="43" t="n"/>
      <c r="B138" s="56" t="n"/>
      <c r="C138" s="56" t="n"/>
      <c r="D138" s="43" t="n"/>
      <c r="P138">
        <f>IF(B138="","",B138)</f>
        <v/>
      </c>
      <c r="Q138">
        <f>IF(C138="","",C138)</f>
        <v/>
      </c>
      <c r="R138">
        <f>IF(B138="","",SUMIF($B$6:$B$305,B138,$D$6:$D$305))</f>
        <v/>
      </c>
      <c r="S138">
        <f>IF(OR(B138="",COUNTIF($B$6:$B138,B138)&gt;1),"",SUMPRODUCT((COUNTIF($B$5:B138,$B$6:$B$305)=1)*($R$6:$R$305&gt;R138)*($B$6:$B$305&lt;&gt;""))+1)</f>
        <v/>
      </c>
    </row>
    <row r="139">
      <c r="A139" s="43" t="n"/>
      <c r="B139" s="56" t="n"/>
      <c r="C139" s="56" t="n"/>
      <c r="D139" s="43" t="n"/>
      <c r="P139">
        <f>IF(B139="","",B139)</f>
        <v/>
      </c>
      <c r="Q139">
        <f>IF(C139="","",C139)</f>
        <v/>
      </c>
      <c r="R139">
        <f>IF(B139="","",SUMIF($B$6:$B$305,B139,$D$6:$D$305))</f>
        <v/>
      </c>
      <c r="S139">
        <f>IF(OR(B139="",COUNTIF($B$6:$B139,B139)&gt;1),"",SUMPRODUCT((COUNTIF($B$5:B139,$B$6:$B$305)=1)*($R$6:$R$305&gt;R139)*($B$6:$B$305&lt;&gt;""))+1)</f>
        <v/>
      </c>
    </row>
    <row r="140">
      <c r="A140" s="43" t="n"/>
      <c r="B140" s="56" t="n"/>
      <c r="C140" s="56" t="n"/>
      <c r="D140" s="43" t="n"/>
      <c r="P140">
        <f>IF(B140="","",B140)</f>
        <v/>
      </c>
      <c r="Q140">
        <f>IF(C140="","",C140)</f>
        <v/>
      </c>
      <c r="R140">
        <f>IF(B140="","",SUMIF($B$6:$B$305,B140,$D$6:$D$305))</f>
        <v/>
      </c>
      <c r="S140">
        <f>IF(OR(B140="",COUNTIF($B$6:$B140,B140)&gt;1),"",SUMPRODUCT((COUNTIF($B$5:B140,$B$6:$B$305)=1)*($R$6:$R$305&gt;R140)*($B$6:$B$305&lt;&gt;""))+1)</f>
        <v/>
      </c>
    </row>
    <row r="141">
      <c r="A141" s="43" t="n"/>
      <c r="B141" s="56" t="n"/>
      <c r="C141" s="56" t="n"/>
      <c r="D141" s="43" t="n"/>
      <c r="P141">
        <f>IF(B141="","",B141)</f>
        <v/>
      </c>
      <c r="Q141">
        <f>IF(C141="","",C141)</f>
        <v/>
      </c>
      <c r="R141">
        <f>IF(B141="","",SUMIF($B$6:$B$305,B141,$D$6:$D$305))</f>
        <v/>
      </c>
      <c r="S141">
        <f>IF(OR(B141="",COUNTIF($B$6:$B141,B141)&gt;1),"",SUMPRODUCT((COUNTIF($B$5:B141,$B$6:$B$305)=1)*($R$6:$R$305&gt;R141)*($B$6:$B$305&lt;&gt;""))+1)</f>
        <v/>
      </c>
    </row>
    <row r="142">
      <c r="A142" s="43" t="n"/>
      <c r="B142" s="56" t="n"/>
      <c r="C142" s="56" t="n"/>
      <c r="D142" s="43" t="n"/>
      <c r="P142">
        <f>IF(B142="","",B142)</f>
        <v/>
      </c>
      <c r="Q142">
        <f>IF(C142="","",C142)</f>
        <v/>
      </c>
      <c r="R142">
        <f>IF(B142="","",SUMIF($B$6:$B$305,B142,$D$6:$D$305))</f>
        <v/>
      </c>
      <c r="S142">
        <f>IF(OR(B142="",COUNTIF($B$6:$B142,B142)&gt;1),"",SUMPRODUCT((COUNTIF($B$5:B142,$B$6:$B$305)=1)*($R$6:$R$305&gt;R142)*($B$6:$B$305&lt;&gt;""))+1)</f>
        <v/>
      </c>
    </row>
    <row r="143">
      <c r="A143" s="43" t="n"/>
      <c r="B143" s="56" t="n"/>
      <c r="C143" s="56" t="n"/>
      <c r="D143" s="43" t="n"/>
      <c r="P143">
        <f>IF(B143="","",B143)</f>
        <v/>
      </c>
      <c r="Q143">
        <f>IF(C143="","",C143)</f>
        <v/>
      </c>
      <c r="R143">
        <f>IF(B143="","",SUMIF($B$6:$B$305,B143,$D$6:$D$305))</f>
        <v/>
      </c>
      <c r="S143">
        <f>IF(OR(B143="",COUNTIF($B$6:$B143,B143)&gt;1),"",SUMPRODUCT((COUNTIF($B$5:B143,$B$6:$B$305)=1)*($R$6:$R$305&gt;R143)*($B$6:$B$305&lt;&gt;""))+1)</f>
        <v/>
      </c>
    </row>
    <row r="144">
      <c r="A144" s="43" t="n"/>
      <c r="B144" s="56" t="n"/>
      <c r="C144" s="56" t="n"/>
      <c r="D144" s="43" t="n"/>
      <c r="P144">
        <f>IF(B144="","",B144)</f>
        <v/>
      </c>
      <c r="Q144">
        <f>IF(C144="","",C144)</f>
        <v/>
      </c>
      <c r="R144">
        <f>IF(B144="","",SUMIF($B$6:$B$305,B144,$D$6:$D$305))</f>
        <v/>
      </c>
      <c r="S144">
        <f>IF(OR(B144="",COUNTIF($B$6:$B144,B144)&gt;1),"",SUMPRODUCT((COUNTIF($B$5:B144,$B$6:$B$305)=1)*($R$6:$R$305&gt;R144)*($B$6:$B$305&lt;&gt;""))+1)</f>
        <v/>
      </c>
    </row>
    <row r="145">
      <c r="A145" s="43" t="n"/>
      <c r="B145" s="56" t="n"/>
      <c r="C145" s="56" t="n"/>
      <c r="D145" s="43" t="n"/>
      <c r="P145">
        <f>IF(B145="","",B145)</f>
        <v/>
      </c>
      <c r="Q145">
        <f>IF(C145="","",C145)</f>
        <v/>
      </c>
      <c r="R145">
        <f>IF(B145="","",SUMIF($B$6:$B$305,B145,$D$6:$D$305))</f>
        <v/>
      </c>
      <c r="S145">
        <f>IF(OR(B145="",COUNTIF($B$6:$B145,B145)&gt;1),"",SUMPRODUCT((COUNTIF($B$5:B145,$B$6:$B$305)=1)*($R$6:$R$305&gt;R145)*($B$6:$B$305&lt;&gt;""))+1)</f>
        <v/>
      </c>
    </row>
    <row r="146">
      <c r="A146" s="43" t="n"/>
      <c r="B146" s="56" t="n"/>
      <c r="C146" s="56" t="n"/>
      <c r="D146" s="43" t="n"/>
      <c r="P146">
        <f>IF(B146="","",B146)</f>
        <v/>
      </c>
      <c r="Q146">
        <f>IF(C146="","",C146)</f>
        <v/>
      </c>
      <c r="R146">
        <f>IF(B146="","",SUMIF($B$6:$B$305,B146,$D$6:$D$305))</f>
        <v/>
      </c>
      <c r="S146">
        <f>IF(OR(B146="",COUNTIF($B$6:$B146,B146)&gt;1),"",SUMPRODUCT((COUNTIF($B$5:B146,$B$6:$B$305)=1)*($R$6:$R$305&gt;R146)*($B$6:$B$305&lt;&gt;""))+1)</f>
        <v/>
      </c>
    </row>
    <row r="147">
      <c r="A147" s="43" t="n"/>
      <c r="B147" s="56" t="n"/>
      <c r="C147" s="56" t="n"/>
      <c r="D147" s="43" t="n"/>
      <c r="P147">
        <f>IF(B147="","",B147)</f>
        <v/>
      </c>
      <c r="Q147">
        <f>IF(C147="","",C147)</f>
        <v/>
      </c>
      <c r="R147">
        <f>IF(B147="","",SUMIF($B$6:$B$305,B147,$D$6:$D$305))</f>
        <v/>
      </c>
      <c r="S147">
        <f>IF(OR(B147="",COUNTIF($B$6:$B147,B147)&gt;1),"",SUMPRODUCT((COUNTIF($B$5:B147,$B$6:$B$305)=1)*($R$6:$R$305&gt;R147)*($B$6:$B$305&lt;&gt;""))+1)</f>
        <v/>
      </c>
    </row>
    <row r="148">
      <c r="A148" s="43" t="n"/>
      <c r="B148" s="56" t="n"/>
      <c r="C148" s="56" t="n"/>
      <c r="D148" s="43" t="n"/>
      <c r="P148">
        <f>IF(B148="","",B148)</f>
        <v/>
      </c>
      <c r="Q148">
        <f>IF(C148="","",C148)</f>
        <v/>
      </c>
      <c r="R148">
        <f>IF(B148="","",SUMIF($B$6:$B$305,B148,$D$6:$D$305))</f>
        <v/>
      </c>
      <c r="S148">
        <f>IF(OR(B148="",COUNTIF($B$6:$B148,B148)&gt;1),"",SUMPRODUCT((COUNTIF($B$5:B148,$B$6:$B$305)=1)*($R$6:$R$305&gt;R148)*($B$6:$B$305&lt;&gt;""))+1)</f>
        <v/>
      </c>
    </row>
    <row r="149">
      <c r="A149" s="43" t="n"/>
      <c r="B149" s="56" t="n"/>
      <c r="C149" s="56" t="n"/>
      <c r="D149" s="43" t="n"/>
      <c r="P149">
        <f>IF(B149="","",B149)</f>
        <v/>
      </c>
      <c r="Q149">
        <f>IF(C149="","",C149)</f>
        <v/>
      </c>
      <c r="R149">
        <f>IF(B149="","",SUMIF($B$6:$B$305,B149,$D$6:$D$305))</f>
        <v/>
      </c>
      <c r="S149">
        <f>IF(OR(B149="",COUNTIF($B$6:$B149,B149)&gt;1),"",SUMPRODUCT((COUNTIF($B$5:B149,$B$6:$B$305)=1)*($R$6:$R$305&gt;R149)*($B$6:$B$305&lt;&gt;""))+1)</f>
        <v/>
      </c>
    </row>
    <row r="150">
      <c r="A150" s="43" t="n"/>
      <c r="B150" s="56" t="n"/>
      <c r="C150" s="56" t="n"/>
      <c r="D150" s="43" t="n"/>
      <c r="P150">
        <f>IF(B150="","",B150)</f>
        <v/>
      </c>
      <c r="Q150">
        <f>IF(C150="","",C150)</f>
        <v/>
      </c>
      <c r="R150">
        <f>IF(B150="","",SUMIF($B$6:$B$305,B150,$D$6:$D$305))</f>
        <v/>
      </c>
      <c r="S150">
        <f>IF(OR(B150="",COUNTIF($B$6:$B150,B150)&gt;1),"",SUMPRODUCT((COUNTIF($B$5:B150,$B$6:$B$305)=1)*($R$6:$R$305&gt;R150)*($B$6:$B$305&lt;&gt;""))+1)</f>
        <v/>
      </c>
    </row>
    <row r="151">
      <c r="A151" s="43" t="n"/>
      <c r="B151" s="56" t="n"/>
      <c r="C151" s="56" t="n"/>
      <c r="D151" s="43" t="n"/>
      <c r="P151">
        <f>IF(B151="","",B151)</f>
        <v/>
      </c>
      <c r="Q151">
        <f>IF(C151="","",C151)</f>
        <v/>
      </c>
      <c r="R151">
        <f>IF(B151="","",SUMIF($B$6:$B$305,B151,$D$6:$D$305))</f>
        <v/>
      </c>
      <c r="S151">
        <f>IF(OR(B151="",COUNTIF($B$6:$B151,B151)&gt;1),"",SUMPRODUCT((COUNTIF($B$5:B151,$B$6:$B$305)=1)*($R$6:$R$305&gt;R151)*($B$6:$B$305&lt;&gt;""))+1)</f>
        <v/>
      </c>
    </row>
    <row r="152">
      <c r="A152" s="43" t="n"/>
      <c r="B152" s="56" t="n"/>
      <c r="C152" s="56" t="n"/>
      <c r="D152" s="43" t="n"/>
      <c r="P152">
        <f>IF(B152="","",B152)</f>
        <v/>
      </c>
      <c r="Q152">
        <f>IF(C152="","",C152)</f>
        <v/>
      </c>
      <c r="R152">
        <f>IF(B152="","",SUMIF($B$6:$B$305,B152,$D$6:$D$305))</f>
        <v/>
      </c>
      <c r="S152">
        <f>IF(OR(B152="",COUNTIF($B$6:$B152,B152)&gt;1),"",SUMPRODUCT((COUNTIF($B$5:B152,$B$6:$B$305)=1)*($R$6:$R$305&gt;R152)*($B$6:$B$305&lt;&gt;""))+1)</f>
        <v/>
      </c>
    </row>
    <row r="153">
      <c r="A153" s="43" t="n"/>
      <c r="B153" s="56" t="n"/>
      <c r="C153" s="56" t="n"/>
      <c r="D153" s="43" t="n"/>
      <c r="P153">
        <f>IF(B153="","",B153)</f>
        <v/>
      </c>
      <c r="Q153">
        <f>IF(C153="","",C153)</f>
        <v/>
      </c>
      <c r="R153">
        <f>IF(B153="","",SUMIF($B$6:$B$305,B153,$D$6:$D$305))</f>
        <v/>
      </c>
      <c r="S153">
        <f>IF(OR(B153="",COUNTIF($B$6:$B153,B153)&gt;1),"",SUMPRODUCT((COUNTIF($B$5:B153,$B$6:$B$305)=1)*($R$6:$R$305&gt;R153)*($B$6:$B$305&lt;&gt;""))+1)</f>
        <v/>
      </c>
    </row>
    <row r="154">
      <c r="A154" s="43" t="n"/>
      <c r="B154" s="56" t="n"/>
      <c r="C154" s="56" t="n"/>
      <c r="D154" s="43" t="n"/>
      <c r="P154">
        <f>IF(B154="","",B154)</f>
        <v/>
      </c>
      <c r="Q154">
        <f>IF(C154="","",C154)</f>
        <v/>
      </c>
      <c r="R154">
        <f>IF(B154="","",SUMIF($B$6:$B$305,B154,$D$6:$D$305))</f>
        <v/>
      </c>
      <c r="S154">
        <f>IF(OR(B154="",COUNTIF($B$6:$B154,B154)&gt;1),"",SUMPRODUCT((COUNTIF($B$5:B154,$B$6:$B$305)=1)*($R$6:$R$305&gt;R154)*($B$6:$B$305&lt;&gt;""))+1)</f>
        <v/>
      </c>
    </row>
    <row r="155">
      <c r="A155" s="43" t="n"/>
      <c r="B155" s="56" t="n"/>
      <c r="C155" s="56" t="n"/>
      <c r="D155" s="43" t="n"/>
      <c r="P155">
        <f>IF(B155="","",B155)</f>
        <v/>
      </c>
      <c r="Q155">
        <f>IF(C155="","",C155)</f>
        <v/>
      </c>
      <c r="R155">
        <f>IF(B155="","",SUMIF($B$6:$B$305,B155,$D$6:$D$305))</f>
        <v/>
      </c>
      <c r="S155">
        <f>IF(OR(B155="",COUNTIF($B$6:$B155,B155)&gt;1),"",SUMPRODUCT((COUNTIF($B$5:B155,$B$6:$B$305)=1)*($R$6:$R$305&gt;R155)*($B$6:$B$305&lt;&gt;""))+1)</f>
        <v/>
      </c>
    </row>
    <row r="156">
      <c r="A156" s="43" t="n"/>
      <c r="B156" s="56" t="n"/>
      <c r="C156" s="56" t="n"/>
      <c r="D156" s="43" t="n"/>
      <c r="P156">
        <f>IF(B156="","",B156)</f>
        <v/>
      </c>
      <c r="Q156">
        <f>IF(C156="","",C156)</f>
        <v/>
      </c>
      <c r="R156">
        <f>IF(B156="","",SUMIF($B$6:$B$305,B156,$D$6:$D$305))</f>
        <v/>
      </c>
      <c r="S156">
        <f>IF(OR(B156="",COUNTIF($B$6:$B156,B156)&gt;1),"",SUMPRODUCT((COUNTIF($B$5:B156,$B$6:$B$305)=1)*($R$6:$R$305&gt;R156)*($B$6:$B$305&lt;&gt;""))+1)</f>
        <v/>
      </c>
    </row>
    <row r="157">
      <c r="A157" s="43" t="n"/>
      <c r="B157" s="56" t="n"/>
      <c r="C157" s="56" t="n"/>
      <c r="D157" s="43" t="n"/>
      <c r="P157">
        <f>IF(B157="","",B157)</f>
        <v/>
      </c>
      <c r="Q157">
        <f>IF(C157="","",C157)</f>
        <v/>
      </c>
      <c r="R157">
        <f>IF(B157="","",SUMIF($B$6:$B$305,B157,$D$6:$D$305))</f>
        <v/>
      </c>
      <c r="S157">
        <f>IF(OR(B157="",COUNTIF($B$6:$B157,B157)&gt;1),"",SUMPRODUCT((COUNTIF($B$5:B157,$B$6:$B$305)=1)*($R$6:$R$305&gt;R157)*($B$6:$B$305&lt;&gt;""))+1)</f>
        <v/>
      </c>
    </row>
    <row r="158">
      <c r="A158" s="43" t="n"/>
      <c r="B158" s="56" t="n"/>
      <c r="C158" s="56" t="n"/>
      <c r="D158" s="43" t="n"/>
      <c r="P158">
        <f>IF(B158="","",B158)</f>
        <v/>
      </c>
      <c r="Q158">
        <f>IF(C158="","",C158)</f>
        <v/>
      </c>
      <c r="R158">
        <f>IF(B158="","",SUMIF($B$6:$B$305,B158,$D$6:$D$305))</f>
        <v/>
      </c>
      <c r="S158">
        <f>IF(OR(B158="",COUNTIF($B$6:$B158,B158)&gt;1),"",SUMPRODUCT((COUNTIF($B$5:B158,$B$6:$B$305)=1)*($R$6:$R$305&gt;R158)*($B$6:$B$305&lt;&gt;""))+1)</f>
        <v/>
      </c>
    </row>
    <row r="159">
      <c r="A159" s="43" t="n"/>
      <c r="B159" s="56" t="n"/>
      <c r="C159" s="56" t="n"/>
      <c r="D159" s="43" t="n"/>
      <c r="P159">
        <f>IF(B159="","",B159)</f>
        <v/>
      </c>
      <c r="Q159">
        <f>IF(C159="","",C159)</f>
        <v/>
      </c>
      <c r="R159">
        <f>IF(B159="","",SUMIF($B$6:$B$305,B159,$D$6:$D$305))</f>
        <v/>
      </c>
      <c r="S159">
        <f>IF(OR(B159="",COUNTIF($B$6:$B159,B159)&gt;1),"",SUMPRODUCT((COUNTIF($B$5:B159,$B$6:$B$305)=1)*($R$6:$R$305&gt;R159)*($B$6:$B$305&lt;&gt;""))+1)</f>
        <v/>
      </c>
    </row>
    <row r="160">
      <c r="A160" s="43" t="n"/>
      <c r="B160" s="56" t="n"/>
      <c r="C160" s="56" t="n"/>
      <c r="D160" s="43" t="n"/>
      <c r="P160">
        <f>IF(B160="","",B160)</f>
        <v/>
      </c>
      <c r="Q160">
        <f>IF(C160="","",C160)</f>
        <v/>
      </c>
      <c r="R160">
        <f>IF(B160="","",SUMIF($B$6:$B$305,B160,$D$6:$D$305))</f>
        <v/>
      </c>
      <c r="S160">
        <f>IF(OR(B160="",COUNTIF($B$6:$B160,B160)&gt;1),"",SUMPRODUCT((COUNTIF($B$5:B160,$B$6:$B$305)=1)*($R$6:$R$305&gt;R160)*($B$6:$B$305&lt;&gt;""))+1)</f>
        <v/>
      </c>
    </row>
    <row r="161">
      <c r="A161" s="43" t="n"/>
      <c r="B161" s="56" t="n"/>
      <c r="C161" s="56" t="n"/>
      <c r="D161" s="43" t="n"/>
      <c r="P161">
        <f>IF(B161="","",B161)</f>
        <v/>
      </c>
      <c r="Q161">
        <f>IF(C161="","",C161)</f>
        <v/>
      </c>
      <c r="R161">
        <f>IF(B161="","",SUMIF($B$6:$B$305,B161,$D$6:$D$305))</f>
        <v/>
      </c>
      <c r="S161">
        <f>IF(OR(B161="",COUNTIF($B$6:$B161,B161)&gt;1),"",SUMPRODUCT((COUNTIF($B$5:B161,$B$6:$B$305)=1)*($R$6:$R$305&gt;R161)*($B$6:$B$305&lt;&gt;""))+1)</f>
        <v/>
      </c>
    </row>
    <row r="162">
      <c r="A162" s="43" t="n"/>
      <c r="B162" s="56" t="n"/>
      <c r="C162" s="56" t="n"/>
      <c r="D162" s="43" t="n"/>
      <c r="P162">
        <f>IF(B162="","",B162)</f>
        <v/>
      </c>
      <c r="Q162">
        <f>IF(C162="","",C162)</f>
        <v/>
      </c>
      <c r="R162">
        <f>IF(B162="","",SUMIF($B$6:$B$305,B162,$D$6:$D$305))</f>
        <v/>
      </c>
      <c r="S162">
        <f>IF(OR(B162="",COUNTIF($B$6:$B162,B162)&gt;1),"",SUMPRODUCT((COUNTIF($B$5:B162,$B$6:$B$305)=1)*($R$6:$R$305&gt;R162)*($B$6:$B$305&lt;&gt;""))+1)</f>
        <v/>
      </c>
    </row>
    <row r="163">
      <c r="A163" s="43" t="n"/>
      <c r="B163" s="56" t="n"/>
      <c r="C163" s="56" t="n"/>
      <c r="D163" s="43" t="n"/>
      <c r="P163">
        <f>IF(B163="","",B163)</f>
        <v/>
      </c>
      <c r="Q163">
        <f>IF(C163="","",C163)</f>
        <v/>
      </c>
      <c r="R163">
        <f>IF(B163="","",SUMIF($B$6:$B$305,B163,$D$6:$D$305))</f>
        <v/>
      </c>
      <c r="S163">
        <f>IF(OR(B163="",COUNTIF($B$6:$B163,B163)&gt;1),"",SUMPRODUCT((COUNTIF($B$5:B163,$B$6:$B$305)=1)*($R$6:$R$305&gt;R163)*($B$6:$B$305&lt;&gt;""))+1)</f>
        <v/>
      </c>
    </row>
    <row r="164">
      <c r="A164" s="43" t="n"/>
      <c r="B164" s="56" t="n"/>
      <c r="C164" s="56" t="n"/>
      <c r="D164" s="43" t="n"/>
      <c r="P164">
        <f>IF(B164="","",B164)</f>
        <v/>
      </c>
      <c r="Q164">
        <f>IF(C164="","",C164)</f>
        <v/>
      </c>
      <c r="R164">
        <f>IF(B164="","",SUMIF($B$6:$B$305,B164,$D$6:$D$305))</f>
        <v/>
      </c>
      <c r="S164">
        <f>IF(OR(B164="",COUNTIF($B$6:$B164,B164)&gt;1),"",SUMPRODUCT((COUNTIF($B$5:B164,$B$6:$B$305)=1)*($R$6:$R$305&gt;R164)*($B$6:$B$305&lt;&gt;""))+1)</f>
        <v/>
      </c>
    </row>
    <row r="165">
      <c r="A165" s="43" t="n"/>
      <c r="B165" s="56" t="n"/>
      <c r="C165" s="56" t="n"/>
      <c r="D165" s="43" t="n"/>
      <c r="P165">
        <f>IF(B165="","",B165)</f>
        <v/>
      </c>
      <c r="Q165">
        <f>IF(C165="","",C165)</f>
        <v/>
      </c>
      <c r="R165">
        <f>IF(B165="","",SUMIF($B$6:$B$305,B165,$D$6:$D$305))</f>
        <v/>
      </c>
      <c r="S165">
        <f>IF(OR(B165="",COUNTIF($B$6:$B165,B165)&gt;1),"",SUMPRODUCT((COUNTIF($B$5:B165,$B$6:$B$305)=1)*($R$6:$R$305&gt;R165)*($B$6:$B$305&lt;&gt;""))+1)</f>
        <v/>
      </c>
    </row>
    <row r="166">
      <c r="A166" s="43" t="n"/>
      <c r="B166" s="56" t="n"/>
      <c r="C166" s="56" t="n"/>
      <c r="D166" s="43" t="n"/>
      <c r="P166">
        <f>IF(B166="","",B166)</f>
        <v/>
      </c>
      <c r="Q166">
        <f>IF(C166="","",C166)</f>
        <v/>
      </c>
      <c r="R166">
        <f>IF(B166="","",SUMIF($B$6:$B$305,B166,$D$6:$D$305))</f>
        <v/>
      </c>
      <c r="S166">
        <f>IF(OR(B166="",COUNTIF($B$6:$B166,B166)&gt;1),"",SUMPRODUCT((COUNTIF($B$5:B166,$B$6:$B$305)=1)*($R$6:$R$305&gt;R166)*($B$6:$B$305&lt;&gt;""))+1)</f>
        <v/>
      </c>
    </row>
    <row r="167">
      <c r="A167" s="43" t="n"/>
      <c r="B167" s="56" t="n"/>
      <c r="C167" s="56" t="n"/>
      <c r="D167" s="43" t="n"/>
      <c r="P167">
        <f>IF(B167="","",B167)</f>
        <v/>
      </c>
      <c r="Q167">
        <f>IF(C167="","",C167)</f>
        <v/>
      </c>
      <c r="R167">
        <f>IF(B167="","",SUMIF($B$6:$B$305,B167,$D$6:$D$305))</f>
        <v/>
      </c>
      <c r="S167">
        <f>IF(OR(B167="",COUNTIF($B$6:$B167,B167)&gt;1),"",SUMPRODUCT((COUNTIF($B$5:B167,$B$6:$B$305)=1)*($R$6:$R$305&gt;R167)*($B$6:$B$305&lt;&gt;""))+1)</f>
        <v/>
      </c>
    </row>
    <row r="168">
      <c r="A168" s="43" t="n"/>
      <c r="B168" s="56" t="n"/>
      <c r="C168" s="56" t="n"/>
      <c r="D168" s="43" t="n"/>
      <c r="P168">
        <f>IF(B168="","",B168)</f>
        <v/>
      </c>
      <c r="Q168">
        <f>IF(C168="","",C168)</f>
        <v/>
      </c>
      <c r="R168">
        <f>IF(B168="","",SUMIF($B$6:$B$305,B168,$D$6:$D$305))</f>
        <v/>
      </c>
      <c r="S168">
        <f>IF(OR(B168="",COUNTIF($B$6:$B168,B168)&gt;1),"",SUMPRODUCT((COUNTIF($B$5:B168,$B$6:$B$305)=1)*($R$6:$R$305&gt;R168)*($B$6:$B$305&lt;&gt;""))+1)</f>
        <v/>
      </c>
    </row>
    <row r="169">
      <c r="A169" s="43" t="n"/>
      <c r="B169" s="56" t="n"/>
      <c r="C169" s="56" t="n"/>
      <c r="D169" s="43" t="n"/>
      <c r="P169">
        <f>IF(B169="","",B169)</f>
        <v/>
      </c>
      <c r="Q169">
        <f>IF(C169="","",C169)</f>
        <v/>
      </c>
      <c r="R169">
        <f>IF(B169="","",SUMIF($B$6:$B$305,B169,$D$6:$D$305))</f>
        <v/>
      </c>
      <c r="S169">
        <f>IF(OR(B169="",COUNTIF($B$6:$B169,B169)&gt;1),"",SUMPRODUCT((COUNTIF($B$5:B169,$B$6:$B$305)=1)*($R$6:$R$305&gt;R169)*($B$6:$B$305&lt;&gt;""))+1)</f>
        <v/>
      </c>
    </row>
    <row r="170">
      <c r="A170" s="43" t="n"/>
      <c r="B170" s="56" t="n"/>
      <c r="C170" s="56" t="n"/>
      <c r="D170" s="43" t="n"/>
      <c r="P170">
        <f>IF(B170="","",B170)</f>
        <v/>
      </c>
      <c r="Q170">
        <f>IF(C170="","",C170)</f>
        <v/>
      </c>
      <c r="R170">
        <f>IF(B170="","",SUMIF($B$6:$B$305,B170,$D$6:$D$305))</f>
        <v/>
      </c>
      <c r="S170">
        <f>IF(OR(B170="",COUNTIF($B$6:$B170,B170)&gt;1),"",SUMPRODUCT((COUNTIF($B$5:B170,$B$6:$B$305)=1)*($R$6:$R$305&gt;R170)*($B$6:$B$305&lt;&gt;""))+1)</f>
        <v/>
      </c>
    </row>
    <row r="171">
      <c r="A171" s="43" t="n"/>
      <c r="B171" s="56" t="n"/>
      <c r="C171" s="56" t="n"/>
      <c r="D171" s="43" t="n"/>
      <c r="P171">
        <f>IF(B171="","",B171)</f>
        <v/>
      </c>
      <c r="Q171">
        <f>IF(C171="","",C171)</f>
        <v/>
      </c>
      <c r="R171">
        <f>IF(B171="","",SUMIF($B$6:$B$305,B171,$D$6:$D$305))</f>
        <v/>
      </c>
      <c r="S171">
        <f>IF(OR(B171="",COUNTIF($B$6:$B171,B171)&gt;1),"",SUMPRODUCT((COUNTIF($B$5:B171,$B$6:$B$305)=1)*($R$6:$R$305&gt;R171)*($B$6:$B$305&lt;&gt;""))+1)</f>
        <v/>
      </c>
    </row>
    <row r="172">
      <c r="A172" s="43" t="n"/>
      <c r="B172" s="56" t="n"/>
      <c r="C172" s="56" t="n"/>
      <c r="D172" s="43" t="n"/>
      <c r="P172">
        <f>IF(B172="","",B172)</f>
        <v/>
      </c>
      <c r="Q172">
        <f>IF(C172="","",C172)</f>
        <v/>
      </c>
      <c r="R172">
        <f>IF(B172="","",SUMIF($B$6:$B$305,B172,$D$6:$D$305))</f>
        <v/>
      </c>
      <c r="S172">
        <f>IF(OR(B172="",COUNTIF($B$6:$B172,B172)&gt;1),"",SUMPRODUCT((COUNTIF($B$5:B172,$B$6:$B$305)=1)*($R$6:$R$305&gt;R172)*($B$6:$B$305&lt;&gt;""))+1)</f>
        <v/>
      </c>
    </row>
    <row r="173">
      <c r="A173" s="43" t="n"/>
      <c r="B173" s="56" t="n"/>
      <c r="C173" s="56" t="n"/>
      <c r="D173" s="43" t="n"/>
      <c r="P173">
        <f>IF(B173="","",B173)</f>
        <v/>
      </c>
      <c r="Q173">
        <f>IF(C173="","",C173)</f>
        <v/>
      </c>
      <c r="R173">
        <f>IF(B173="","",SUMIF($B$6:$B$305,B173,$D$6:$D$305))</f>
        <v/>
      </c>
      <c r="S173">
        <f>IF(OR(B173="",COUNTIF($B$6:$B173,B173)&gt;1),"",SUMPRODUCT((COUNTIF($B$5:B173,$B$6:$B$305)=1)*($R$6:$R$305&gt;R173)*($B$6:$B$305&lt;&gt;""))+1)</f>
        <v/>
      </c>
    </row>
    <row r="174">
      <c r="A174" s="43" t="n"/>
      <c r="B174" s="56" t="n"/>
      <c r="C174" s="56" t="n"/>
      <c r="D174" s="43" t="n"/>
      <c r="P174">
        <f>IF(B174="","",B174)</f>
        <v/>
      </c>
      <c r="Q174">
        <f>IF(C174="","",C174)</f>
        <v/>
      </c>
      <c r="R174">
        <f>IF(B174="","",SUMIF($B$6:$B$305,B174,$D$6:$D$305))</f>
        <v/>
      </c>
      <c r="S174">
        <f>IF(OR(B174="",COUNTIF($B$6:$B174,B174)&gt;1),"",SUMPRODUCT((COUNTIF($B$5:B174,$B$6:$B$305)=1)*($R$6:$R$305&gt;R174)*($B$6:$B$305&lt;&gt;""))+1)</f>
        <v/>
      </c>
    </row>
    <row r="175">
      <c r="A175" s="43" t="n"/>
      <c r="B175" s="56" t="n"/>
      <c r="C175" s="56" t="n"/>
      <c r="D175" s="43" t="n"/>
      <c r="P175">
        <f>IF(B175="","",B175)</f>
        <v/>
      </c>
      <c r="Q175">
        <f>IF(C175="","",C175)</f>
        <v/>
      </c>
      <c r="R175">
        <f>IF(B175="","",SUMIF($B$6:$B$305,B175,$D$6:$D$305))</f>
        <v/>
      </c>
      <c r="S175">
        <f>IF(OR(B175="",COUNTIF($B$6:$B175,B175)&gt;1),"",SUMPRODUCT((COUNTIF($B$5:B175,$B$6:$B$305)=1)*($R$6:$R$305&gt;R175)*($B$6:$B$305&lt;&gt;""))+1)</f>
        <v/>
      </c>
    </row>
    <row r="176">
      <c r="A176" s="43" t="n"/>
      <c r="B176" s="56" t="n"/>
      <c r="C176" s="56" t="n"/>
      <c r="D176" s="43" t="n"/>
      <c r="P176">
        <f>IF(B176="","",B176)</f>
        <v/>
      </c>
      <c r="Q176">
        <f>IF(C176="","",C176)</f>
        <v/>
      </c>
      <c r="R176">
        <f>IF(B176="","",SUMIF($B$6:$B$305,B176,$D$6:$D$305))</f>
        <v/>
      </c>
      <c r="S176">
        <f>IF(OR(B176="",COUNTIF($B$6:$B176,B176)&gt;1),"",SUMPRODUCT((COUNTIF($B$5:B176,$B$6:$B$305)=1)*($R$6:$R$305&gt;R176)*($B$6:$B$305&lt;&gt;""))+1)</f>
        <v/>
      </c>
    </row>
    <row r="177">
      <c r="A177" s="43" t="n"/>
      <c r="B177" s="56" t="n"/>
      <c r="C177" s="56" t="n"/>
      <c r="D177" s="43" t="n"/>
      <c r="P177">
        <f>IF(B177="","",B177)</f>
        <v/>
      </c>
      <c r="Q177">
        <f>IF(C177="","",C177)</f>
        <v/>
      </c>
      <c r="R177">
        <f>IF(B177="","",SUMIF($B$6:$B$305,B177,$D$6:$D$305))</f>
        <v/>
      </c>
      <c r="S177">
        <f>IF(OR(B177="",COUNTIF($B$6:$B177,B177)&gt;1),"",SUMPRODUCT((COUNTIF($B$5:B177,$B$6:$B$305)=1)*($R$6:$R$305&gt;R177)*($B$6:$B$305&lt;&gt;""))+1)</f>
        <v/>
      </c>
    </row>
    <row r="178">
      <c r="A178" s="43" t="n"/>
      <c r="B178" s="56" t="n"/>
      <c r="C178" s="56" t="n"/>
      <c r="D178" s="43" t="n"/>
      <c r="P178">
        <f>IF(B178="","",B178)</f>
        <v/>
      </c>
      <c r="Q178">
        <f>IF(C178="","",C178)</f>
        <v/>
      </c>
      <c r="R178">
        <f>IF(B178="","",SUMIF($B$6:$B$305,B178,$D$6:$D$305))</f>
        <v/>
      </c>
      <c r="S178">
        <f>IF(OR(B178="",COUNTIF($B$6:$B178,B178)&gt;1),"",SUMPRODUCT((COUNTIF($B$5:B178,$B$6:$B$305)=1)*($R$6:$R$305&gt;R178)*($B$6:$B$305&lt;&gt;""))+1)</f>
        <v/>
      </c>
    </row>
    <row r="179">
      <c r="A179" s="43" t="n"/>
      <c r="B179" s="56" t="n"/>
      <c r="C179" s="56" t="n"/>
      <c r="D179" s="43" t="n"/>
      <c r="P179">
        <f>IF(B179="","",B179)</f>
        <v/>
      </c>
      <c r="Q179">
        <f>IF(C179="","",C179)</f>
        <v/>
      </c>
      <c r="R179">
        <f>IF(B179="","",SUMIF($B$6:$B$305,B179,$D$6:$D$305))</f>
        <v/>
      </c>
      <c r="S179">
        <f>IF(OR(B179="",COUNTIF($B$6:$B179,B179)&gt;1),"",SUMPRODUCT((COUNTIF($B$5:B179,$B$6:$B$305)=1)*($R$6:$R$305&gt;R179)*($B$6:$B$305&lt;&gt;""))+1)</f>
        <v/>
      </c>
    </row>
    <row r="180">
      <c r="A180" s="43" t="n"/>
      <c r="B180" s="56" t="n"/>
      <c r="C180" s="56" t="n"/>
      <c r="D180" s="43" t="n"/>
      <c r="P180">
        <f>IF(B180="","",B180)</f>
        <v/>
      </c>
      <c r="Q180">
        <f>IF(C180="","",C180)</f>
        <v/>
      </c>
      <c r="R180">
        <f>IF(B180="","",SUMIF($B$6:$B$305,B180,$D$6:$D$305))</f>
        <v/>
      </c>
      <c r="S180">
        <f>IF(OR(B180="",COUNTIF($B$6:$B180,B180)&gt;1),"",SUMPRODUCT((COUNTIF($B$5:B180,$B$6:$B$305)=1)*($R$6:$R$305&gt;R180)*($B$6:$B$305&lt;&gt;""))+1)</f>
        <v/>
      </c>
    </row>
    <row r="181">
      <c r="A181" s="43" t="n"/>
      <c r="B181" s="56" t="n"/>
      <c r="C181" s="56" t="n"/>
      <c r="D181" s="43" t="n"/>
      <c r="P181">
        <f>IF(B181="","",B181)</f>
        <v/>
      </c>
      <c r="Q181">
        <f>IF(C181="","",C181)</f>
        <v/>
      </c>
      <c r="R181">
        <f>IF(B181="","",SUMIF($B$6:$B$305,B181,$D$6:$D$305))</f>
        <v/>
      </c>
      <c r="S181">
        <f>IF(OR(B181="",COUNTIF($B$6:$B181,B181)&gt;1),"",SUMPRODUCT((COUNTIF($B$5:B181,$B$6:$B$305)=1)*($R$6:$R$305&gt;R181)*($B$6:$B$305&lt;&gt;""))+1)</f>
        <v/>
      </c>
    </row>
    <row r="182">
      <c r="A182" s="43" t="n"/>
      <c r="B182" s="56" t="n"/>
      <c r="C182" s="56" t="n"/>
      <c r="D182" s="43" t="n"/>
      <c r="P182">
        <f>IF(B182="","",B182)</f>
        <v/>
      </c>
      <c r="Q182">
        <f>IF(C182="","",C182)</f>
        <v/>
      </c>
      <c r="R182">
        <f>IF(B182="","",SUMIF($B$6:$B$305,B182,$D$6:$D$305))</f>
        <v/>
      </c>
      <c r="S182">
        <f>IF(OR(B182="",COUNTIF($B$6:$B182,B182)&gt;1),"",SUMPRODUCT((COUNTIF($B$5:B182,$B$6:$B$305)=1)*($R$6:$R$305&gt;R182)*($B$6:$B$305&lt;&gt;""))+1)</f>
        <v/>
      </c>
    </row>
    <row r="183">
      <c r="A183" s="43" t="n"/>
      <c r="B183" s="56" t="n"/>
      <c r="C183" s="56" t="n"/>
      <c r="D183" s="43" t="n"/>
      <c r="P183">
        <f>IF(B183="","",B183)</f>
        <v/>
      </c>
      <c r="Q183">
        <f>IF(C183="","",C183)</f>
        <v/>
      </c>
      <c r="R183">
        <f>IF(B183="","",SUMIF($B$6:$B$305,B183,$D$6:$D$305))</f>
        <v/>
      </c>
      <c r="S183">
        <f>IF(OR(B183="",COUNTIF($B$6:$B183,B183)&gt;1),"",SUMPRODUCT((COUNTIF($B$5:B183,$B$6:$B$305)=1)*($R$6:$R$305&gt;R183)*($B$6:$B$305&lt;&gt;""))+1)</f>
        <v/>
      </c>
    </row>
    <row r="184">
      <c r="A184" s="43" t="n"/>
      <c r="B184" s="56" t="n"/>
      <c r="C184" s="56" t="n"/>
      <c r="D184" s="43" t="n"/>
      <c r="P184">
        <f>IF(B184="","",B184)</f>
        <v/>
      </c>
      <c r="Q184">
        <f>IF(C184="","",C184)</f>
        <v/>
      </c>
      <c r="R184">
        <f>IF(B184="","",SUMIF($B$6:$B$305,B184,$D$6:$D$305))</f>
        <v/>
      </c>
      <c r="S184">
        <f>IF(OR(B184="",COUNTIF($B$6:$B184,B184)&gt;1),"",SUMPRODUCT((COUNTIF($B$5:B184,$B$6:$B$305)=1)*($R$6:$R$305&gt;R184)*($B$6:$B$305&lt;&gt;""))+1)</f>
        <v/>
      </c>
    </row>
    <row r="185">
      <c r="A185" s="43" t="n"/>
      <c r="B185" s="56" t="n"/>
      <c r="C185" s="56" t="n"/>
      <c r="D185" s="43" t="n"/>
      <c r="P185">
        <f>IF(B185="","",B185)</f>
        <v/>
      </c>
      <c r="Q185">
        <f>IF(C185="","",C185)</f>
        <v/>
      </c>
      <c r="R185">
        <f>IF(B185="","",SUMIF($B$6:$B$305,B185,$D$6:$D$305))</f>
        <v/>
      </c>
      <c r="S185">
        <f>IF(OR(B185="",COUNTIF($B$6:$B185,B185)&gt;1),"",SUMPRODUCT((COUNTIF($B$5:B185,$B$6:$B$305)=1)*($R$6:$R$305&gt;R185)*($B$6:$B$305&lt;&gt;""))+1)</f>
        <v/>
      </c>
    </row>
    <row r="186">
      <c r="A186" s="43" t="n"/>
      <c r="B186" s="56" t="n"/>
      <c r="C186" s="56" t="n"/>
      <c r="D186" s="43" t="n"/>
      <c r="P186">
        <f>IF(B186="","",B186)</f>
        <v/>
      </c>
      <c r="Q186">
        <f>IF(C186="","",C186)</f>
        <v/>
      </c>
      <c r="R186">
        <f>IF(B186="","",SUMIF($B$6:$B$305,B186,$D$6:$D$305))</f>
        <v/>
      </c>
      <c r="S186">
        <f>IF(OR(B186="",COUNTIF($B$6:$B186,B186)&gt;1),"",SUMPRODUCT((COUNTIF($B$5:B186,$B$6:$B$305)=1)*($R$6:$R$305&gt;R186)*($B$6:$B$305&lt;&gt;""))+1)</f>
        <v/>
      </c>
    </row>
    <row r="187">
      <c r="A187" s="43" t="n"/>
      <c r="B187" s="56" t="n"/>
      <c r="C187" s="56" t="n"/>
      <c r="D187" s="43" t="n"/>
      <c r="P187">
        <f>IF(B187="","",B187)</f>
        <v/>
      </c>
      <c r="Q187">
        <f>IF(C187="","",C187)</f>
        <v/>
      </c>
      <c r="R187">
        <f>IF(B187="","",SUMIF($B$6:$B$305,B187,$D$6:$D$305))</f>
        <v/>
      </c>
      <c r="S187">
        <f>IF(OR(B187="",COUNTIF($B$6:$B187,B187)&gt;1),"",SUMPRODUCT((COUNTIF($B$5:B187,$B$6:$B$305)=1)*($R$6:$R$305&gt;R187)*($B$6:$B$305&lt;&gt;""))+1)</f>
        <v/>
      </c>
    </row>
    <row r="188">
      <c r="A188" s="43" t="n"/>
      <c r="B188" s="56" t="n"/>
      <c r="C188" s="56" t="n"/>
      <c r="D188" s="43" t="n"/>
      <c r="P188">
        <f>IF(B188="","",B188)</f>
        <v/>
      </c>
      <c r="Q188">
        <f>IF(C188="","",C188)</f>
        <v/>
      </c>
      <c r="R188">
        <f>IF(B188="","",SUMIF($B$6:$B$305,B188,$D$6:$D$305))</f>
        <v/>
      </c>
      <c r="S188">
        <f>IF(OR(B188="",COUNTIF($B$6:$B188,B188)&gt;1),"",SUMPRODUCT((COUNTIF($B$5:B188,$B$6:$B$305)=1)*($R$6:$R$305&gt;R188)*($B$6:$B$305&lt;&gt;""))+1)</f>
        <v/>
      </c>
    </row>
    <row r="189">
      <c r="A189" s="43" t="n"/>
      <c r="B189" s="56" t="n"/>
      <c r="C189" s="56" t="n"/>
      <c r="D189" s="43" t="n"/>
      <c r="P189">
        <f>IF(B189="","",B189)</f>
        <v/>
      </c>
      <c r="Q189">
        <f>IF(C189="","",C189)</f>
        <v/>
      </c>
      <c r="R189">
        <f>IF(B189="","",SUMIF($B$6:$B$305,B189,$D$6:$D$305))</f>
        <v/>
      </c>
      <c r="S189">
        <f>IF(OR(B189="",COUNTIF($B$6:$B189,B189)&gt;1),"",SUMPRODUCT((COUNTIF($B$5:B189,$B$6:$B$305)=1)*($R$6:$R$305&gt;R189)*($B$6:$B$305&lt;&gt;""))+1)</f>
        <v/>
      </c>
    </row>
    <row r="190">
      <c r="A190" s="43" t="n"/>
      <c r="B190" s="56" t="n"/>
      <c r="C190" s="56" t="n"/>
      <c r="D190" s="43" t="n"/>
      <c r="P190">
        <f>IF(B190="","",B190)</f>
        <v/>
      </c>
      <c r="Q190">
        <f>IF(C190="","",C190)</f>
        <v/>
      </c>
      <c r="R190">
        <f>IF(B190="","",SUMIF($B$6:$B$305,B190,$D$6:$D$305))</f>
        <v/>
      </c>
      <c r="S190">
        <f>IF(OR(B190="",COUNTIF($B$6:$B190,B190)&gt;1),"",SUMPRODUCT((COUNTIF($B$5:B190,$B$6:$B$305)=1)*($R$6:$R$305&gt;R190)*($B$6:$B$305&lt;&gt;""))+1)</f>
        <v/>
      </c>
    </row>
    <row r="191">
      <c r="A191" s="43" t="n"/>
      <c r="B191" s="56" t="n"/>
      <c r="C191" s="56" t="n"/>
      <c r="D191" s="43" t="n"/>
      <c r="P191">
        <f>IF(B191="","",B191)</f>
        <v/>
      </c>
      <c r="Q191">
        <f>IF(C191="","",C191)</f>
        <v/>
      </c>
      <c r="R191">
        <f>IF(B191="","",SUMIF($B$6:$B$305,B191,$D$6:$D$305))</f>
        <v/>
      </c>
      <c r="S191">
        <f>IF(OR(B191="",COUNTIF($B$6:$B191,B191)&gt;1),"",SUMPRODUCT((COUNTIF($B$5:B191,$B$6:$B$305)=1)*($R$6:$R$305&gt;R191)*($B$6:$B$305&lt;&gt;""))+1)</f>
        <v/>
      </c>
    </row>
    <row r="192">
      <c r="A192" s="43" t="n"/>
      <c r="B192" s="56" t="n"/>
      <c r="C192" s="56" t="n"/>
      <c r="D192" s="43" t="n"/>
      <c r="P192">
        <f>IF(B192="","",B192)</f>
        <v/>
      </c>
      <c r="Q192">
        <f>IF(C192="","",C192)</f>
        <v/>
      </c>
      <c r="R192">
        <f>IF(B192="","",SUMIF($B$6:$B$305,B192,$D$6:$D$305))</f>
        <v/>
      </c>
      <c r="S192">
        <f>IF(OR(B192="",COUNTIF($B$6:$B192,B192)&gt;1),"",SUMPRODUCT((COUNTIF($B$5:B192,$B$6:$B$305)=1)*($R$6:$R$305&gt;R192)*($B$6:$B$305&lt;&gt;""))+1)</f>
        <v/>
      </c>
    </row>
    <row r="193">
      <c r="A193" s="43" t="n"/>
      <c r="B193" s="56" t="n"/>
      <c r="C193" s="56" t="n"/>
      <c r="D193" s="43" t="n"/>
      <c r="P193">
        <f>IF(B193="","",B193)</f>
        <v/>
      </c>
      <c r="Q193">
        <f>IF(C193="","",C193)</f>
        <v/>
      </c>
      <c r="R193">
        <f>IF(B193="","",SUMIF($B$6:$B$305,B193,$D$6:$D$305))</f>
        <v/>
      </c>
      <c r="S193">
        <f>IF(OR(B193="",COUNTIF($B$6:$B193,B193)&gt;1),"",SUMPRODUCT((COUNTIF($B$5:B193,$B$6:$B$305)=1)*($R$6:$R$305&gt;R193)*($B$6:$B$305&lt;&gt;""))+1)</f>
        <v/>
      </c>
    </row>
    <row r="194">
      <c r="A194" s="43" t="n"/>
      <c r="B194" s="56" t="n"/>
      <c r="C194" s="56" t="n"/>
      <c r="D194" s="43" t="n"/>
      <c r="P194">
        <f>IF(B194="","",B194)</f>
        <v/>
      </c>
      <c r="Q194">
        <f>IF(C194="","",C194)</f>
        <v/>
      </c>
      <c r="R194">
        <f>IF(B194="","",SUMIF($B$6:$B$305,B194,$D$6:$D$305))</f>
        <v/>
      </c>
      <c r="S194">
        <f>IF(OR(B194="",COUNTIF($B$6:$B194,B194)&gt;1),"",SUMPRODUCT((COUNTIF($B$5:B194,$B$6:$B$305)=1)*($R$6:$R$305&gt;R194)*($B$6:$B$305&lt;&gt;""))+1)</f>
        <v/>
      </c>
    </row>
    <row r="195">
      <c r="A195" s="43" t="n"/>
      <c r="B195" s="56" t="n"/>
      <c r="C195" s="56" t="n"/>
      <c r="D195" s="43" t="n"/>
      <c r="P195">
        <f>IF(B195="","",B195)</f>
        <v/>
      </c>
      <c r="Q195">
        <f>IF(C195="","",C195)</f>
        <v/>
      </c>
      <c r="R195">
        <f>IF(B195="","",SUMIF($B$6:$B$305,B195,$D$6:$D$305))</f>
        <v/>
      </c>
      <c r="S195">
        <f>IF(OR(B195="",COUNTIF($B$6:$B195,B195)&gt;1),"",SUMPRODUCT((COUNTIF($B$5:B195,$B$6:$B$305)=1)*($R$6:$R$305&gt;R195)*($B$6:$B$305&lt;&gt;""))+1)</f>
        <v/>
      </c>
    </row>
    <row r="196">
      <c r="A196" s="43" t="n"/>
      <c r="B196" s="56" t="n"/>
      <c r="C196" s="56" t="n"/>
      <c r="D196" s="43" t="n"/>
      <c r="P196">
        <f>IF(B196="","",B196)</f>
        <v/>
      </c>
      <c r="Q196">
        <f>IF(C196="","",C196)</f>
        <v/>
      </c>
      <c r="R196">
        <f>IF(B196="","",SUMIF($B$6:$B$305,B196,$D$6:$D$305))</f>
        <v/>
      </c>
      <c r="S196">
        <f>IF(OR(B196="",COUNTIF($B$6:$B196,B196)&gt;1),"",SUMPRODUCT((COUNTIF($B$5:B196,$B$6:$B$305)=1)*($R$6:$R$305&gt;R196)*($B$6:$B$305&lt;&gt;""))+1)</f>
        <v/>
      </c>
    </row>
    <row r="197">
      <c r="A197" s="43" t="n"/>
      <c r="B197" s="56" t="n"/>
      <c r="C197" s="56" t="n"/>
      <c r="D197" s="43" t="n"/>
      <c r="P197">
        <f>IF(B197="","",B197)</f>
        <v/>
      </c>
      <c r="Q197">
        <f>IF(C197="","",C197)</f>
        <v/>
      </c>
      <c r="R197">
        <f>IF(B197="","",SUMIF($B$6:$B$305,B197,$D$6:$D$305))</f>
        <v/>
      </c>
      <c r="S197">
        <f>IF(OR(B197="",COUNTIF($B$6:$B197,B197)&gt;1),"",SUMPRODUCT((COUNTIF($B$5:B197,$B$6:$B$305)=1)*($R$6:$R$305&gt;R197)*($B$6:$B$305&lt;&gt;""))+1)</f>
        <v/>
      </c>
    </row>
    <row r="198">
      <c r="A198" s="43" t="n"/>
      <c r="B198" s="56" t="n"/>
      <c r="C198" s="56" t="n"/>
      <c r="D198" s="43" t="n"/>
      <c r="P198">
        <f>IF(B198="","",B198)</f>
        <v/>
      </c>
      <c r="Q198">
        <f>IF(C198="","",C198)</f>
        <v/>
      </c>
      <c r="R198">
        <f>IF(B198="","",SUMIF($B$6:$B$305,B198,$D$6:$D$305))</f>
        <v/>
      </c>
      <c r="S198">
        <f>IF(OR(B198="",COUNTIF($B$6:$B198,B198)&gt;1),"",SUMPRODUCT((COUNTIF($B$5:B198,$B$6:$B$305)=1)*($R$6:$R$305&gt;R198)*($B$6:$B$305&lt;&gt;""))+1)</f>
        <v/>
      </c>
    </row>
    <row r="199">
      <c r="A199" s="43" t="n"/>
      <c r="B199" s="56" t="n"/>
      <c r="C199" s="56" t="n"/>
      <c r="D199" s="43" t="n"/>
      <c r="P199">
        <f>IF(B199="","",B199)</f>
        <v/>
      </c>
      <c r="Q199">
        <f>IF(C199="","",C199)</f>
        <v/>
      </c>
      <c r="R199">
        <f>IF(B199="","",SUMIF($B$6:$B$305,B199,$D$6:$D$305))</f>
        <v/>
      </c>
      <c r="S199">
        <f>IF(OR(B199="",COUNTIF($B$6:$B199,B199)&gt;1),"",SUMPRODUCT((COUNTIF($B$5:B199,$B$6:$B$305)=1)*($R$6:$R$305&gt;R199)*($B$6:$B$305&lt;&gt;""))+1)</f>
        <v/>
      </c>
    </row>
    <row r="200">
      <c r="A200" s="43" t="n"/>
      <c r="B200" s="56" t="n"/>
      <c r="C200" s="56" t="n"/>
      <c r="D200" s="43" t="n"/>
      <c r="P200">
        <f>IF(B200="","",B200)</f>
        <v/>
      </c>
      <c r="Q200">
        <f>IF(C200="","",C200)</f>
        <v/>
      </c>
      <c r="R200">
        <f>IF(B200="","",SUMIF($B$6:$B$305,B200,$D$6:$D$305))</f>
        <v/>
      </c>
      <c r="S200">
        <f>IF(OR(B200="",COUNTIF($B$6:$B200,B200)&gt;1),"",SUMPRODUCT((COUNTIF($B$5:B200,$B$6:$B$305)=1)*($R$6:$R$305&gt;R200)*($B$6:$B$305&lt;&gt;""))+1)</f>
        <v/>
      </c>
    </row>
    <row r="201">
      <c r="A201" s="43" t="n"/>
      <c r="B201" s="56" t="n"/>
      <c r="C201" s="56" t="n"/>
      <c r="D201" s="43" t="n"/>
      <c r="P201">
        <f>IF(B201="","",B201)</f>
        <v/>
      </c>
      <c r="Q201">
        <f>IF(C201="","",C201)</f>
        <v/>
      </c>
      <c r="R201">
        <f>IF(B201="","",SUMIF($B$6:$B$305,B201,$D$6:$D$305))</f>
        <v/>
      </c>
      <c r="S201">
        <f>IF(OR(B201="",COUNTIF($B$6:$B201,B201)&gt;1),"",SUMPRODUCT((COUNTIF($B$5:B201,$B$6:$B$305)=1)*($R$6:$R$305&gt;R201)*($B$6:$B$305&lt;&gt;""))+1)</f>
        <v/>
      </c>
    </row>
    <row r="202">
      <c r="A202" s="43" t="n"/>
      <c r="B202" s="56" t="n"/>
      <c r="C202" s="56" t="n"/>
      <c r="D202" s="43" t="n"/>
      <c r="P202">
        <f>IF(B202="","",B202)</f>
        <v/>
      </c>
      <c r="Q202">
        <f>IF(C202="","",C202)</f>
        <v/>
      </c>
      <c r="R202">
        <f>IF(B202="","",SUMIF($B$6:$B$305,B202,$D$6:$D$305))</f>
        <v/>
      </c>
      <c r="S202">
        <f>IF(OR(B202="",COUNTIF($B$6:$B202,B202)&gt;1),"",SUMPRODUCT((COUNTIF($B$5:B202,$B$6:$B$305)=1)*($R$6:$R$305&gt;R202)*($B$6:$B$305&lt;&gt;""))+1)</f>
        <v/>
      </c>
    </row>
    <row r="203">
      <c r="A203" s="43" t="n"/>
      <c r="B203" s="56" t="n"/>
      <c r="C203" s="56" t="n"/>
      <c r="D203" s="43" t="n"/>
      <c r="P203">
        <f>IF(B203="","",B203)</f>
        <v/>
      </c>
      <c r="Q203">
        <f>IF(C203="","",C203)</f>
        <v/>
      </c>
      <c r="R203">
        <f>IF(B203="","",SUMIF($B$6:$B$305,B203,$D$6:$D$305))</f>
        <v/>
      </c>
      <c r="S203">
        <f>IF(OR(B203="",COUNTIF($B$6:$B203,B203)&gt;1),"",SUMPRODUCT((COUNTIF($B$5:B203,$B$6:$B$305)=1)*($R$6:$R$305&gt;R203)*($B$6:$B$305&lt;&gt;""))+1)</f>
        <v/>
      </c>
    </row>
    <row r="204">
      <c r="A204" s="43" t="n"/>
      <c r="B204" s="56" t="n"/>
      <c r="C204" s="56" t="n"/>
      <c r="D204" s="43" t="n"/>
      <c r="P204">
        <f>IF(B204="","",B204)</f>
        <v/>
      </c>
      <c r="Q204">
        <f>IF(C204="","",C204)</f>
        <v/>
      </c>
      <c r="R204">
        <f>IF(B204="","",SUMIF($B$6:$B$305,B204,$D$6:$D$305))</f>
        <v/>
      </c>
      <c r="S204">
        <f>IF(OR(B204="",COUNTIF($B$6:$B204,B204)&gt;1),"",SUMPRODUCT((COUNTIF($B$5:B204,$B$6:$B$305)=1)*($R$6:$R$305&gt;R204)*($B$6:$B$305&lt;&gt;""))+1)</f>
        <v/>
      </c>
    </row>
    <row r="205">
      <c r="A205" s="43" t="n"/>
      <c r="B205" s="56" t="n"/>
      <c r="C205" s="56" t="n"/>
      <c r="D205" s="43" t="n"/>
      <c r="P205">
        <f>IF(B205="","",B205)</f>
        <v/>
      </c>
      <c r="Q205">
        <f>IF(C205="","",C205)</f>
        <v/>
      </c>
      <c r="R205">
        <f>IF(B205="","",SUMIF($B$6:$B$305,B205,$D$6:$D$305))</f>
        <v/>
      </c>
      <c r="S205">
        <f>IF(OR(B205="",COUNTIF($B$6:$B205,B205)&gt;1),"",SUMPRODUCT((COUNTIF($B$5:B205,$B$6:$B$305)=1)*($R$6:$R$305&gt;R205)*($B$6:$B$305&lt;&gt;""))+1)</f>
        <v/>
      </c>
    </row>
    <row r="206">
      <c r="A206" s="43" t="n"/>
      <c r="B206" s="56" t="n"/>
      <c r="C206" s="56" t="n"/>
      <c r="D206" s="43" t="n"/>
      <c r="P206">
        <f>IF(B206="","",B206)</f>
        <v/>
      </c>
      <c r="Q206">
        <f>IF(C206="","",C206)</f>
        <v/>
      </c>
      <c r="R206">
        <f>IF(B206="","",SUMIF($B$6:$B$305,B206,$D$6:$D$305))</f>
        <v/>
      </c>
      <c r="S206">
        <f>IF(OR(B206="",COUNTIF($B$6:$B206,B206)&gt;1),"",SUMPRODUCT((COUNTIF($B$5:B206,$B$6:$B$305)=1)*($R$6:$R$305&gt;R206)*($B$6:$B$305&lt;&gt;""))+1)</f>
        <v/>
      </c>
    </row>
    <row r="207">
      <c r="A207" s="43" t="n"/>
      <c r="B207" s="56" t="n"/>
      <c r="C207" s="56" t="n"/>
      <c r="D207" s="43" t="n"/>
      <c r="P207">
        <f>IF(B207="","",B207)</f>
        <v/>
      </c>
      <c r="Q207">
        <f>IF(C207="","",C207)</f>
        <v/>
      </c>
      <c r="R207">
        <f>IF(B207="","",SUMIF($B$6:$B$305,B207,$D$6:$D$305))</f>
        <v/>
      </c>
      <c r="S207">
        <f>IF(OR(B207="",COUNTIF($B$6:$B207,B207)&gt;1),"",SUMPRODUCT((COUNTIF($B$5:B207,$B$6:$B$305)=1)*($R$6:$R$305&gt;R207)*($B$6:$B$305&lt;&gt;""))+1)</f>
        <v/>
      </c>
    </row>
    <row r="208">
      <c r="A208" s="43" t="n"/>
      <c r="B208" s="56" t="n"/>
      <c r="C208" s="56" t="n"/>
      <c r="D208" s="43" t="n"/>
      <c r="P208">
        <f>IF(B208="","",B208)</f>
        <v/>
      </c>
      <c r="Q208">
        <f>IF(C208="","",C208)</f>
        <v/>
      </c>
      <c r="R208">
        <f>IF(B208="","",SUMIF($B$6:$B$305,B208,$D$6:$D$305))</f>
        <v/>
      </c>
      <c r="S208">
        <f>IF(OR(B208="",COUNTIF($B$6:$B208,B208)&gt;1),"",SUMPRODUCT((COUNTIF($B$5:B208,$B$6:$B$305)=1)*($R$6:$R$305&gt;R208)*($B$6:$B$305&lt;&gt;""))+1)</f>
        <v/>
      </c>
    </row>
    <row r="209">
      <c r="A209" s="43" t="n"/>
      <c r="B209" s="56" t="n"/>
      <c r="C209" s="56" t="n"/>
      <c r="D209" s="43" t="n"/>
      <c r="P209">
        <f>IF(B209="","",B209)</f>
        <v/>
      </c>
      <c r="Q209">
        <f>IF(C209="","",C209)</f>
        <v/>
      </c>
      <c r="R209">
        <f>IF(B209="","",SUMIF($B$6:$B$305,B209,$D$6:$D$305))</f>
        <v/>
      </c>
      <c r="S209">
        <f>IF(OR(B209="",COUNTIF($B$6:$B209,B209)&gt;1),"",SUMPRODUCT((COUNTIF($B$5:B209,$B$6:$B$305)=1)*($R$6:$R$305&gt;R209)*($B$6:$B$305&lt;&gt;""))+1)</f>
        <v/>
      </c>
    </row>
    <row r="210">
      <c r="A210" s="43" t="n"/>
      <c r="B210" s="56" t="n"/>
      <c r="C210" s="56" t="n"/>
      <c r="D210" s="43" t="n"/>
      <c r="P210">
        <f>IF(B210="","",B210)</f>
        <v/>
      </c>
      <c r="Q210">
        <f>IF(C210="","",C210)</f>
        <v/>
      </c>
      <c r="R210">
        <f>IF(B210="","",SUMIF($B$6:$B$305,B210,$D$6:$D$305))</f>
        <v/>
      </c>
      <c r="S210">
        <f>IF(OR(B210="",COUNTIF($B$6:$B210,B210)&gt;1),"",SUMPRODUCT((COUNTIF($B$5:B210,$B$6:$B$305)=1)*($R$6:$R$305&gt;R210)*($B$6:$B$305&lt;&gt;""))+1)</f>
        <v/>
      </c>
    </row>
    <row r="211">
      <c r="A211" s="43" t="n"/>
      <c r="B211" s="56" t="n"/>
      <c r="C211" s="56" t="n"/>
      <c r="D211" s="43" t="n"/>
      <c r="P211">
        <f>IF(B211="","",B211)</f>
        <v/>
      </c>
      <c r="Q211">
        <f>IF(C211="","",C211)</f>
        <v/>
      </c>
      <c r="R211">
        <f>IF(B211="","",SUMIF($B$6:$B$305,B211,$D$6:$D$305))</f>
        <v/>
      </c>
      <c r="S211">
        <f>IF(OR(B211="",COUNTIF($B$6:$B211,B211)&gt;1),"",SUMPRODUCT((COUNTIF($B$5:B211,$B$6:$B$305)=1)*($R$6:$R$305&gt;R211)*($B$6:$B$305&lt;&gt;""))+1)</f>
        <v/>
      </c>
    </row>
    <row r="212">
      <c r="A212" s="43" t="n"/>
      <c r="B212" s="56" t="n"/>
      <c r="C212" s="56" t="n"/>
      <c r="D212" s="43" t="n"/>
      <c r="P212">
        <f>IF(B212="","",B212)</f>
        <v/>
      </c>
      <c r="Q212">
        <f>IF(C212="","",C212)</f>
        <v/>
      </c>
      <c r="R212">
        <f>IF(B212="","",SUMIF($B$6:$B$305,B212,$D$6:$D$305))</f>
        <v/>
      </c>
      <c r="S212">
        <f>IF(OR(B212="",COUNTIF($B$6:$B212,B212)&gt;1),"",SUMPRODUCT((COUNTIF($B$5:B212,$B$6:$B$305)=1)*($R$6:$R$305&gt;R212)*($B$6:$B$305&lt;&gt;""))+1)</f>
        <v/>
      </c>
    </row>
    <row r="213">
      <c r="A213" s="43" t="n"/>
      <c r="B213" s="56" t="n"/>
      <c r="C213" s="56" t="n"/>
      <c r="D213" s="43" t="n"/>
      <c r="P213">
        <f>IF(B213="","",B213)</f>
        <v/>
      </c>
      <c r="Q213">
        <f>IF(C213="","",C213)</f>
        <v/>
      </c>
      <c r="R213">
        <f>IF(B213="","",SUMIF($B$6:$B$305,B213,$D$6:$D$305))</f>
        <v/>
      </c>
      <c r="S213">
        <f>IF(OR(B213="",COUNTIF($B$6:$B213,B213)&gt;1),"",SUMPRODUCT((COUNTIF($B$5:B213,$B$6:$B$305)=1)*($R$6:$R$305&gt;R213)*($B$6:$B$305&lt;&gt;""))+1)</f>
        <v/>
      </c>
    </row>
    <row r="214">
      <c r="A214" s="43" t="n"/>
      <c r="B214" s="56" t="n"/>
      <c r="C214" s="56" t="n"/>
      <c r="D214" s="43" t="n"/>
      <c r="P214">
        <f>IF(B214="","",B214)</f>
        <v/>
      </c>
      <c r="Q214">
        <f>IF(C214="","",C214)</f>
        <v/>
      </c>
      <c r="R214">
        <f>IF(B214="","",SUMIF($B$6:$B$305,B214,$D$6:$D$305))</f>
        <v/>
      </c>
      <c r="S214">
        <f>IF(OR(B214="",COUNTIF($B$6:$B214,B214)&gt;1),"",SUMPRODUCT((COUNTIF($B$5:B214,$B$6:$B$305)=1)*($R$6:$R$305&gt;R214)*($B$6:$B$305&lt;&gt;""))+1)</f>
        <v/>
      </c>
    </row>
    <row r="215">
      <c r="A215" s="43" t="n"/>
      <c r="B215" s="56" t="n"/>
      <c r="C215" s="56" t="n"/>
      <c r="D215" s="43" t="n"/>
      <c r="P215">
        <f>IF(B215="","",B215)</f>
        <v/>
      </c>
      <c r="Q215">
        <f>IF(C215="","",C215)</f>
        <v/>
      </c>
      <c r="R215">
        <f>IF(B215="","",SUMIF($B$6:$B$305,B215,$D$6:$D$305))</f>
        <v/>
      </c>
      <c r="S215">
        <f>IF(OR(B215="",COUNTIF($B$6:$B215,B215)&gt;1),"",SUMPRODUCT((COUNTIF($B$5:B215,$B$6:$B$305)=1)*($R$6:$R$305&gt;R215)*($B$6:$B$305&lt;&gt;""))+1)</f>
        <v/>
      </c>
    </row>
    <row r="216">
      <c r="A216" s="43" t="n"/>
      <c r="B216" s="56" t="n"/>
      <c r="C216" s="56" t="n"/>
      <c r="D216" s="43" t="n"/>
      <c r="P216">
        <f>IF(B216="","",B216)</f>
        <v/>
      </c>
      <c r="Q216">
        <f>IF(C216="","",C216)</f>
        <v/>
      </c>
      <c r="R216">
        <f>IF(B216="","",SUMIF($B$6:$B$305,B216,$D$6:$D$305))</f>
        <v/>
      </c>
      <c r="S216">
        <f>IF(OR(B216="",COUNTIF($B$6:$B216,B216)&gt;1),"",SUMPRODUCT((COUNTIF($B$5:B216,$B$6:$B$305)=1)*($R$6:$R$305&gt;R216)*($B$6:$B$305&lt;&gt;""))+1)</f>
        <v/>
      </c>
    </row>
    <row r="217">
      <c r="A217" s="43" t="n"/>
      <c r="B217" s="56" t="n"/>
      <c r="C217" s="56" t="n"/>
      <c r="D217" s="43" t="n"/>
      <c r="P217">
        <f>IF(B217="","",B217)</f>
        <v/>
      </c>
      <c r="Q217">
        <f>IF(C217="","",C217)</f>
        <v/>
      </c>
      <c r="R217">
        <f>IF(B217="","",SUMIF($B$6:$B$305,B217,$D$6:$D$305))</f>
        <v/>
      </c>
      <c r="S217">
        <f>IF(OR(B217="",COUNTIF($B$6:$B217,B217)&gt;1),"",SUMPRODUCT((COUNTIF($B$5:B217,$B$6:$B$305)=1)*($R$6:$R$305&gt;R217)*($B$6:$B$305&lt;&gt;""))+1)</f>
        <v/>
      </c>
    </row>
    <row r="218">
      <c r="A218" s="43" t="n"/>
      <c r="B218" s="56" t="n"/>
      <c r="C218" s="56" t="n"/>
      <c r="D218" s="43" t="n"/>
      <c r="P218">
        <f>IF(B218="","",B218)</f>
        <v/>
      </c>
      <c r="Q218">
        <f>IF(C218="","",C218)</f>
        <v/>
      </c>
      <c r="R218">
        <f>IF(B218="","",SUMIF($B$6:$B$305,B218,$D$6:$D$305))</f>
        <v/>
      </c>
      <c r="S218">
        <f>IF(OR(B218="",COUNTIF($B$6:$B218,B218)&gt;1),"",SUMPRODUCT((COUNTIF($B$5:B218,$B$6:$B$305)=1)*($R$6:$R$305&gt;R218)*($B$6:$B$305&lt;&gt;""))+1)</f>
        <v/>
      </c>
    </row>
    <row r="219">
      <c r="A219" s="43" t="n"/>
      <c r="B219" s="56" t="n"/>
      <c r="C219" s="56" t="n"/>
      <c r="D219" s="43" t="n"/>
      <c r="P219">
        <f>IF(B219="","",B219)</f>
        <v/>
      </c>
      <c r="Q219">
        <f>IF(C219="","",C219)</f>
        <v/>
      </c>
      <c r="R219">
        <f>IF(B219="","",SUMIF($B$6:$B$305,B219,$D$6:$D$305))</f>
        <v/>
      </c>
      <c r="S219">
        <f>IF(OR(B219="",COUNTIF($B$6:$B219,B219)&gt;1),"",SUMPRODUCT((COUNTIF($B$5:B219,$B$6:$B$305)=1)*($R$6:$R$305&gt;R219)*($B$6:$B$305&lt;&gt;""))+1)</f>
        <v/>
      </c>
    </row>
    <row r="220">
      <c r="A220" s="43" t="n"/>
      <c r="B220" s="56" t="n"/>
      <c r="C220" s="56" t="n"/>
      <c r="D220" s="43" t="n"/>
      <c r="P220">
        <f>IF(B220="","",B220)</f>
        <v/>
      </c>
      <c r="Q220">
        <f>IF(C220="","",C220)</f>
        <v/>
      </c>
      <c r="R220">
        <f>IF(B220="","",SUMIF($B$6:$B$305,B220,$D$6:$D$305))</f>
        <v/>
      </c>
      <c r="S220">
        <f>IF(OR(B220="",COUNTIF($B$6:$B220,B220)&gt;1),"",SUMPRODUCT((COUNTIF($B$5:B220,$B$6:$B$305)=1)*($R$6:$R$305&gt;R220)*($B$6:$B$305&lt;&gt;""))+1)</f>
        <v/>
      </c>
    </row>
    <row r="221">
      <c r="A221" s="43" t="n"/>
      <c r="B221" s="56" t="n"/>
      <c r="C221" s="56" t="n"/>
      <c r="D221" s="43" t="n"/>
      <c r="P221">
        <f>IF(B221="","",B221)</f>
        <v/>
      </c>
      <c r="Q221">
        <f>IF(C221="","",C221)</f>
        <v/>
      </c>
      <c r="R221">
        <f>IF(B221="","",SUMIF($B$6:$B$305,B221,$D$6:$D$305))</f>
        <v/>
      </c>
      <c r="S221">
        <f>IF(OR(B221="",COUNTIF($B$6:$B221,B221)&gt;1),"",SUMPRODUCT((COUNTIF($B$5:B221,$B$6:$B$305)=1)*($R$6:$R$305&gt;R221)*($B$6:$B$305&lt;&gt;""))+1)</f>
        <v/>
      </c>
    </row>
    <row r="222">
      <c r="A222" s="43" t="n"/>
      <c r="B222" s="56" t="n"/>
      <c r="C222" s="56" t="n"/>
      <c r="D222" s="43" t="n"/>
      <c r="P222">
        <f>IF(B222="","",B222)</f>
        <v/>
      </c>
      <c r="Q222">
        <f>IF(C222="","",C222)</f>
        <v/>
      </c>
      <c r="R222">
        <f>IF(B222="","",SUMIF($B$6:$B$305,B222,$D$6:$D$305))</f>
        <v/>
      </c>
      <c r="S222">
        <f>IF(OR(B222="",COUNTIF($B$6:$B222,B222)&gt;1),"",SUMPRODUCT((COUNTIF($B$5:B222,$B$6:$B$305)=1)*($R$6:$R$305&gt;R222)*($B$6:$B$305&lt;&gt;""))+1)</f>
        <v/>
      </c>
    </row>
    <row r="223">
      <c r="A223" s="43" t="n"/>
      <c r="B223" s="56" t="n"/>
      <c r="C223" s="56" t="n"/>
      <c r="D223" s="43" t="n"/>
      <c r="P223">
        <f>IF(B223="","",B223)</f>
        <v/>
      </c>
      <c r="Q223">
        <f>IF(C223="","",C223)</f>
        <v/>
      </c>
      <c r="R223">
        <f>IF(B223="","",SUMIF($B$6:$B$305,B223,$D$6:$D$305))</f>
        <v/>
      </c>
      <c r="S223">
        <f>IF(OR(B223="",COUNTIF($B$6:$B223,B223)&gt;1),"",SUMPRODUCT((COUNTIF($B$5:B223,$B$6:$B$305)=1)*($R$6:$R$305&gt;R223)*($B$6:$B$305&lt;&gt;""))+1)</f>
        <v/>
      </c>
    </row>
    <row r="224">
      <c r="A224" s="43" t="n"/>
      <c r="B224" s="56" t="n"/>
      <c r="C224" s="56" t="n"/>
      <c r="D224" s="43" t="n"/>
      <c r="P224">
        <f>IF(B224="","",B224)</f>
        <v/>
      </c>
      <c r="Q224">
        <f>IF(C224="","",C224)</f>
        <v/>
      </c>
      <c r="R224">
        <f>IF(B224="","",SUMIF($B$6:$B$305,B224,$D$6:$D$305))</f>
        <v/>
      </c>
      <c r="S224">
        <f>IF(OR(B224="",COUNTIF($B$6:$B224,B224)&gt;1),"",SUMPRODUCT((COUNTIF($B$5:B224,$B$6:$B$305)=1)*($R$6:$R$305&gt;R224)*($B$6:$B$305&lt;&gt;""))+1)</f>
        <v/>
      </c>
    </row>
    <row r="225">
      <c r="A225" s="43" t="n"/>
      <c r="B225" s="56" t="n"/>
      <c r="C225" s="56" t="n"/>
      <c r="D225" s="43" t="n"/>
      <c r="P225">
        <f>IF(B225="","",B225)</f>
        <v/>
      </c>
      <c r="Q225">
        <f>IF(C225="","",C225)</f>
        <v/>
      </c>
      <c r="R225">
        <f>IF(B225="","",SUMIF($B$6:$B$305,B225,$D$6:$D$305))</f>
        <v/>
      </c>
      <c r="S225">
        <f>IF(OR(B225="",COUNTIF($B$6:$B225,B225)&gt;1),"",SUMPRODUCT((COUNTIF($B$5:B225,$B$6:$B$305)=1)*($R$6:$R$305&gt;R225)*($B$6:$B$305&lt;&gt;""))+1)</f>
        <v/>
      </c>
    </row>
    <row r="226">
      <c r="A226" s="43" t="n"/>
      <c r="B226" s="56" t="n"/>
      <c r="C226" s="56" t="n"/>
      <c r="D226" s="43" t="n"/>
      <c r="P226">
        <f>IF(B226="","",B226)</f>
        <v/>
      </c>
      <c r="Q226">
        <f>IF(C226="","",C226)</f>
        <v/>
      </c>
      <c r="R226">
        <f>IF(B226="","",SUMIF($B$6:$B$305,B226,$D$6:$D$305))</f>
        <v/>
      </c>
      <c r="S226">
        <f>IF(OR(B226="",COUNTIF($B$6:$B226,B226)&gt;1),"",SUMPRODUCT((COUNTIF($B$5:B226,$B$6:$B$305)=1)*($R$6:$R$305&gt;R226)*($B$6:$B$305&lt;&gt;""))+1)</f>
        <v/>
      </c>
    </row>
    <row r="227">
      <c r="A227" s="43" t="n"/>
      <c r="B227" s="56" t="n"/>
      <c r="C227" s="56" t="n"/>
      <c r="D227" s="43" t="n"/>
      <c r="P227">
        <f>IF(B227="","",B227)</f>
        <v/>
      </c>
      <c r="Q227">
        <f>IF(C227="","",C227)</f>
        <v/>
      </c>
      <c r="R227">
        <f>IF(B227="","",SUMIF($B$6:$B$305,B227,$D$6:$D$305))</f>
        <v/>
      </c>
      <c r="S227">
        <f>IF(OR(B227="",COUNTIF($B$6:$B227,B227)&gt;1),"",SUMPRODUCT((COUNTIF($B$5:B227,$B$6:$B$305)=1)*($R$6:$R$305&gt;R227)*($B$6:$B$305&lt;&gt;""))+1)</f>
        <v/>
      </c>
    </row>
    <row r="228">
      <c r="A228" s="43" t="n"/>
      <c r="B228" s="56" t="n"/>
      <c r="C228" s="56" t="n"/>
      <c r="D228" s="43" t="n"/>
      <c r="P228">
        <f>IF(B228="","",B228)</f>
        <v/>
      </c>
      <c r="Q228">
        <f>IF(C228="","",C228)</f>
        <v/>
      </c>
      <c r="R228">
        <f>IF(B228="","",SUMIF($B$6:$B$305,B228,$D$6:$D$305))</f>
        <v/>
      </c>
      <c r="S228">
        <f>IF(OR(B228="",COUNTIF($B$6:$B228,B228)&gt;1),"",SUMPRODUCT((COUNTIF($B$5:B228,$B$6:$B$305)=1)*($R$6:$R$305&gt;R228)*($B$6:$B$305&lt;&gt;""))+1)</f>
        <v/>
      </c>
    </row>
    <row r="229">
      <c r="A229" s="43" t="n"/>
      <c r="B229" s="56" t="n"/>
      <c r="C229" s="56" t="n"/>
      <c r="D229" s="43" t="n"/>
      <c r="P229">
        <f>IF(B229="","",B229)</f>
        <v/>
      </c>
      <c r="Q229">
        <f>IF(C229="","",C229)</f>
        <v/>
      </c>
      <c r="R229">
        <f>IF(B229="","",SUMIF($B$6:$B$305,B229,$D$6:$D$305))</f>
        <v/>
      </c>
      <c r="S229">
        <f>IF(OR(B229="",COUNTIF($B$6:$B229,B229)&gt;1),"",SUMPRODUCT((COUNTIF($B$5:B229,$B$6:$B$305)=1)*($R$6:$R$305&gt;R229)*($B$6:$B$305&lt;&gt;""))+1)</f>
        <v/>
      </c>
    </row>
    <row r="230">
      <c r="A230" s="43" t="n"/>
      <c r="B230" s="56" t="n"/>
      <c r="C230" s="56" t="n"/>
      <c r="D230" s="43" t="n"/>
      <c r="P230">
        <f>IF(B230="","",B230)</f>
        <v/>
      </c>
      <c r="Q230">
        <f>IF(C230="","",C230)</f>
        <v/>
      </c>
      <c r="R230">
        <f>IF(B230="","",SUMIF($B$6:$B$305,B230,$D$6:$D$305))</f>
        <v/>
      </c>
      <c r="S230">
        <f>IF(OR(B230="",COUNTIF($B$6:$B230,B230)&gt;1),"",SUMPRODUCT((COUNTIF($B$5:B230,$B$6:$B$305)=1)*($R$6:$R$305&gt;R230)*($B$6:$B$305&lt;&gt;""))+1)</f>
        <v/>
      </c>
    </row>
    <row r="231">
      <c r="A231" s="43" t="n"/>
      <c r="B231" s="56" t="n"/>
      <c r="C231" s="56" t="n"/>
      <c r="D231" s="43" t="n"/>
      <c r="P231">
        <f>IF(B231="","",B231)</f>
        <v/>
      </c>
      <c r="Q231">
        <f>IF(C231="","",C231)</f>
        <v/>
      </c>
      <c r="R231">
        <f>IF(B231="","",SUMIF($B$6:$B$305,B231,$D$6:$D$305))</f>
        <v/>
      </c>
      <c r="S231">
        <f>IF(OR(B231="",COUNTIF($B$6:$B231,B231)&gt;1),"",SUMPRODUCT((COUNTIF($B$5:B231,$B$6:$B$305)=1)*($R$6:$R$305&gt;R231)*($B$6:$B$305&lt;&gt;""))+1)</f>
        <v/>
      </c>
    </row>
    <row r="232">
      <c r="A232" s="43" t="n"/>
      <c r="B232" s="56" t="n"/>
      <c r="C232" s="56" t="n"/>
      <c r="D232" s="43" t="n"/>
      <c r="P232">
        <f>IF(B232="","",B232)</f>
        <v/>
      </c>
      <c r="Q232">
        <f>IF(C232="","",C232)</f>
        <v/>
      </c>
      <c r="R232">
        <f>IF(B232="","",SUMIF($B$6:$B$305,B232,$D$6:$D$305))</f>
        <v/>
      </c>
      <c r="S232">
        <f>IF(OR(B232="",COUNTIF($B$6:$B232,B232)&gt;1),"",SUMPRODUCT((COUNTIF($B$5:B232,$B$6:$B$305)=1)*($R$6:$R$305&gt;R232)*($B$6:$B$305&lt;&gt;""))+1)</f>
        <v/>
      </c>
    </row>
    <row r="233">
      <c r="A233" s="43" t="n"/>
      <c r="B233" s="56" t="n"/>
      <c r="C233" s="56" t="n"/>
      <c r="D233" s="43" t="n"/>
      <c r="P233">
        <f>IF(B233="","",B233)</f>
        <v/>
      </c>
      <c r="Q233">
        <f>IF(C233="","",C233)</f>
        <v/>
      </c>
      <c r="R233">
        <f>IF(B233="","",SUMIF($B$6:$B$305,B233,$D$6:$D$305))</f>
        <v/>
      </c>
      <c r="S233">
        <f>IF(OR(B233="",COUNTIF($B$6:$B233,B233)&gt;1),"",SUMPRODUCT((COUNTIF($B$5:B233,$B$6:$B$305)=1)*($R$6:$R$305&gt;R233)*($B$6:$B$305&lt;&gt;""))+1)</f>
        <v/>
      </c>
    </row>
    <row r="234">
      <c r="A234" s="43" t="n"/>
      <c r="B234" s="56" t="n"/>
      <c r="C234" s="56" t="n"/>
      <c r="D234" s="43" t="n"/>
      <c r="P234">
        <f>IF(B234="","",B234)</f>
        <v/>
      </c>
      <c r="Q234">
        <f>IF(C234="","",C234)</f>
        <v/>
      </c>
      <c r="R234">
        <f>IF(B234="","",SUMIF($B$6:$B$305,B234,$D$6:$D$305))</f>
        <v/>
      </c>
      <c r="S234">
        <f>IF(OR(B234="",COUNTIF($B$6:$B234,B234)&gt;1),"",SUMPRODUCT((COUNTIF($B$5:B234,$B$6:$B$305)=1)*($R$6:$R$305&gt;R234)*($B$6:$B$305&lt;&gt;""))+1)</f>
        <v/>
      </c>
    </row>
    <row r="235">
      <c r="A235" s="43" t="n"/>
      <c r="B235" s="56" t="n"/>
      <c r="C235" s="56" t="n"/>
      <c r="D235" s="43" t="n"/>
      <c r="P235">
        <f>IF(B235="","",B235)</f>
        <v/>
      </c>
      <c r="Q235">
        <f>IF(C235="","",C235)</f>
        <v/>
      </c>
      <c r="R235">
        <f>IF(B235="","",SUMIF($B$6:$B$305,B235,$D$6:$D$305))</f>
        <v/>
      </c>
      <c r="S235">
        <f>IF(OR(B235="",COUNTIF($B$6:$B235,B235)&gt;1),"",SUMPRODUCT((COUNTIF($B$5:B235,$B$6:$B$305)=1)*($R$6:$R$305&gt;R235)*($B$6:$B$305&lt;&gt;""))+1)</f>
        <v/>
      </c>
    </row>
    <row r="236">
      <c r="A236" s="43" t="n"/>
      <c r="B236" s="56" t="n"/>
      <c r="C236" s="56" t="n"/>
      <c r="D236" s="43" t="n"/>
      <c r="P236">
        <f>IF(B236="","",B236)</f>
        <v/>
      </c>
      <c r="Q236">
        <f>IF(C236="","",C236)</f>
        <v/>
      </c>
      <c r="R236">
        <f>IF(B236="","",SUMIF($B$6:$B$305,B236,$D$6:$D$305))</f>
        <v/>
      </c>
      <c r="S236">
        <f>IF(OR(B236="",COUNTIF($B$6:$B236,B236)&gt;1),"",SUMPRODUCT((COUNTIF($B$5:B236,$B$6:$B$305)=1)*($R$6:$R$305&gt;R236)*($B$6:$B$305&lt;&gt;""))+1)</f>
        <v/>
      </c>
    </row>
    <row r="237">
      <c r="A237" s="43" t="n"/>
      <c r="B237" s="56" t="n"/>
      <c r="C237" s="56" t="n"/>
      <c r="D237" s="43" t="n"/>
      <c r="P237">
        <f>IF(B237="","",B237)</f>
        <v/>
      </c>
      <c r="Q237">
        <f>IF(C237="","",C237)</f>
        <v/>
      </c>
      <c r="R237">
        <f>IF(B237="","",SUMIF($B$6:$B$305,B237,$D$6:$D$305))</f>
        <v/>
      </c>
      <c r="S237">
        <f>IF(OR(B237="",COUNTIF($B$6:$B237,B237)&gt;1),"",SUMPRODUCT((COUNTIF($B$5:B237,$B$6:$B$305)=1)*($R$6:$R$305&gt;R237)*($B$6:$B$305&lt;&gt;""))+1)</f>
        <v/>
      </c>
    </row>
    <row r="238">
      <c r="A238" s="43" t="n"/>
      <c r="B238" s="56" t="n"/>
      <c r="C238" s="56" t="n"/>
      <c r="D238" s="43" t="n"/>
      <c r="P238">
        <f>IF(B238="","",B238)</f>
        <v/>
      </c>
      <c r="Q238">
        <f>IF(C238="","",C238)</f>
        <v/>
      </c>
      <c r="R238">
        <f>IF(B238="","",SUMIF($B$6:$B$305,B238,$D$6:$D$305))</f>
        <v/>
      </c>
      <c r="S238">
        <f>IF(OR(B238="",COUNTIF($B$6:$B238,B238)&gt;1),"",SUMPRODUCT((COUNTIF($B$5:B238,$B$6:$B$305)=1)*($R$6:$R$305&gt;R238)*($B$6:$B$305&lt;&gt;""))+1)</f>
        <v/>
      </c>
    </row>
    <row r="239">
      <c r="A239" s="43" t="n"/>
      <c r="B239" s="56" t="n"/>
      <c r="C239" s="56" t="n"/>
      <c r="D239" s="43" t="n"/>
      <c r="P239">
        <f>IF(B239="","",B239)</f>
        <v/>
      </c>
      <c r="Q239">
        <f>IF(C239="","",C239)</f>
        <v/>
      </c>
      <c r="R239">
        <f>IF(B239="","",SUMIF($B$6:$B$305,B239,$D$6:$D$305))</f>
        <v/>
      </c>
      <c r="S239">
        <f>IF(OR(B239="",COUNTIF($B$6:$B239,B239)&gt;1),"",SUMPRODUCT((COUNTIF($B$5:B239,$B$6:$B$305)=1)*($R$6:$R$305&gt;R239)*($B$6:$B$305&lt;&gt;""))+1)</f>
        <v/>
      </c>
    </row>
    <row r="240">
      <c r="A240" s="43" t="n"/>
      <c r="B240" s="56" t="n"/>
      <c r="C240" s="56" t="n"/>
      <c r="D240" s="43" t="n"/>
      <c r="P240">
        <f>IF(B240="","",B240)</f>
        <v/>
      </c>
      <c r="Q240">
        <f>IF(C240="","",C240)</f>
        <v/>
      </c>
      <c r="R240">
        <f>IF(B240="","",SUMIF($B$6:$B$305,B240,$D$6:$D$305))</f>
        <v/>
      </c>
      <c r="S240">
        <f>IF(OR(B240="",COUNTIF($B$6:$B240,B240)&gt;1),"",SUMPRODUCT((COUNTIF($B$5:B240,$B$6:$B$305)=1)*($R$6:$R$305&gt;R240)*($B$6:$B$305&lt;&gt;""))+1)</f>
        <v/>
      </c>
    </row>
    <row r="241">
      <c r="A241" s="43" t="n"/>
      <c r="B241" s="56" t="n"/>
      <c r="C241" s="56" t="n"/>
      <c r="D241" s="43" t="n"/>
      <c r="P241">
        <f>IF(B241="","",B241)</f>
        <v/>
      </c>
      <c r="Q241">
        <f>IF(C241="","",C241)</f>
        <v/>
      </c>
      <c r="R241">
        <f>IF(B241="","",SUMIF($B$6:$B$305,B241,$D$6:$D$305))</f>
        <v/>
      </c>
      <c r="S241">
        <f>IF(OR(B241="",COUNTIF($B$6:$B241,B241)&gt;1),"",SUMPRODUCT((COUNTIF($B$5:B241,$B$6:$B$305)=1)*($R$6:$R$305&gt;R241)*($B$6:$B$305&lt;&gt;""))+1)</f>
        <v/>
      </c>
    </row>
    <row r="242">
      <c r="A242" s="43" t="n"/>
      <c r="B242" s="56" t="n"/>
      <c r="C242" s="56" t="n"/>
      <c r="D242" s="43" t="n"/>
      <c r="P242">
        <f>IF(B242="","",B242)</f>
        <v/>
      </c>
      <c r="Q242">
        <f>IF(C242="","",C242)</f>
        <v/>
      </c>
      <c r="R242">
        <f>IF(B242="","",SUMIF($B$6:$B$305,B242,$D$6:$D$305))</f>
        <v/>
      </c>
      <c r="S242">
        <f>IF(OR(B242="",COUNTIF($B$6:$B242,B242)&gt;1),"",SUMPRODUCT((COUNTIF($B$5:B242,$B$6:$B$305)=1)*($R$6:$R$305&gt;R242)*($B$6:$B$305&lt;&gt;""))+1)</f>
        <v/>
      </c>
    </row>
    <row r="243">
      <c r="A243" s="43" t="n"/>
      <c r="B243" s="56" t="n"/>
      <c r="C243" s="56" t="n"/>
      <c r="D243" s="43" t="n"/>
      <c r="P243">
        <f>IF(B243="","",B243)</f>
        <v/>
      </c>
      <c r="Q243">
        <f>IF(C243="","",C243)</f>
        <v/>
      </c>
      <c r="R243">
        <f>IF(B243="","",SUMIF($B$6:$B$305,B243,$D$6:$D$305))</f>
        <v/>
      </c>
      <c r="S243">
        <f>IF(OR(B243="",COUNTIF($B$6:$B243,B243)&gt;1),"",SUMPRODUCT((COUNTIF($B$5:B243,$B$6:$B$305)=1)*($R$6:$R$305&gt;R243)*($B$6:$B$305&lt;&gt;""))+1)</f>
        <v/>
      </c>
    </row>
    <row r="244">
      <c r="A244" s="43" t="n"/>
      <c r="B244" s="56" t="n"/>
      <c r="C244" s="56" t="n"/>
      <c r="D244" s="43" t="n"/>
      <c r="P244">
        <f>IF(B244="","",B244)</f>
        <v/>
      </c>
      <c r="Q244">
        <f>IF(C244="","",C244)</f>
        <v/>
      </c>
      <c r="R244">
        <f>IF(B244="","",SUMIF($B$6:$B$305,B244,$D$6:$D$305))</f>
        <v/>
      </c>
      <c r="S244">
        <f>IF(OR(B244="",COUNTIF($B$6:$B244,B244)&gt;1),"",SUMPRODUCT((COUNTIF($B$5:B244,$B$6:$B$305)=1)*($R$6:$R$305&gt;R244)*($B$6:$B$305&lt;&gt;""))+1)</f>
        <v/>
      </c>
    </row>
    <row r="245">
      <c r="A245" s="43" t="n"/>
      <c r="B245" s="56" t="n"/>
      <c r="C245" s="56" t="n"/>
      <c r="D245" s="43" t="n"/>
      <c r="P245">
        <f>IF(B245="","",B245)</f>
        <v/>
      </c>
      <c r="Q245">
        <f>IF(C245="","",C245)</f>
        <v/>
      </c>
      <c r="R245">
        <f>IF(B245="","",SUMIF($B$6:$B$305,B245,$D$6:$D$305))</f>
        <v/>
      </c>
      <c r="S245">
        <f>IF(OR(B245="",COUNTIF($B$6:$B245,B245)&gt;1),"",SUMPRODUCT((COUNTIF($B$5:B245,$B$6:$B$305)=1)*($R$6:$R$305&gt;R245)*($B$6:$B$305&lt;&gt;""))+1)</f>
        <v/>
      </c>
    </row>
    <row r="246">
      <c r="A246" s="43" t="n"/>
      <c r="B246" s="56" t="n"/>
      <c r="C246" s="56" t="n"/>
      <c r="D246" s="43" t="n"/>
      <c r="P246">
        <f>IF(B246="","",B246)</f>
        <v/>
      </c>
      <c r="Q246">
        <f>IF(C246="","",C246)</f>
        <v/>
      </c>
      <c r="R246">
        <f>IF(B246="","",SUMIF($B$6:$B$305,B246,$D$6:$D$305))</f>
        <v/>
      </c>
      <c r="S246">
        <f>IF(OR(B246="",COUNTIF($B$6:$B246,B246)&gt;1),"",SUMPRODUCT((COUNTIF($B$5:B246,$B$6:$B$305)=1)*($R$6:$R$305&gt;R246)*($B$6:$B$305&lt;&gt;""))+1)</f>
        <v/>
      </c>
    </row>
    <row r="247">
      <c r="A247" s="43" t="n"/>
      <c r="B247" s="56" t="n"/>
      <c r="C247" s="56" t="n"/>
      <c r="D247" s="43" t="n"/>
      <c r="P247">
        <f>IF(B247="","",B247)</f>
        <v/>
      </c>
      <c r="Q247">
        <f>IF(C247="","",C247)</f>
        <v/>
      </c>
      <c r="R247">
        <f>IF(B247="","",SUMIF($B$6:$B$305,B247,$D$6:$D$305))</f>
        <v/>
      </c>
      <c r="S247">
        <f>IF(OR(B247="",COUNTIF($B$6:$B247,B247)&gt;1),"",SUMPRODUCT((COUNTIF($B$5:B247,$B$6:$B$305)=1)*($R$6:$R$305&gt;R247)*($B$6:$B$305&lt;&gt;""))+1)</f>
        <v/>
      </c>
    </row>
    <row r="248">
      <c r="A248" s="43" t="n"/>
      <c r="B248" s="56" t="n"/>
      <c r="C248" s="56" t="n"/>
      <c r="D248" s="43" t="n"/>
      <c r="P248">
        <f>IF(B248="","",B248)</f>
        <v/>
      </c>
      <c r="Q248">
        <f>IF(C248="","",C248)</f>
        <v/>
      </c>
      <c r="R248">
        <f>IF(B248="","",SUMIF($B$6:$B$305,B248,$D$6:$D$305))</f>
        <v/>
      </c>
      <c r="S248">
        <f>IF(OR(B248="",COUNTIF($B$6:$B248,B248)&gt;1),"",SUMPRODUCT((COUNTIF($B$5:B248,$B$6:$B$305)=1)*($R$6:$R$305&gt;R248)*($B$6:$B$305&lt;&gt;""))+1)</f>
        <v/>
      </c>
    </row>
    <row r="249">
      <c r="A249" s="43" t="n"/>
      <c r="B249" s="56" t="n"/>
      <c r="C249" s="56" t="n"/>
      <c r="D249" s="43" t="n"/>
      <c r="P249">
        <f>IF(B249="","",B249)</f>
        <v/>
      </c>
      <c r="Q249">
        <f>IF(C249="","",C249)</f>
        <v/>
      </c>
      <c r="R249">
        <f>IF(B249="","",SUMIF($B$6:$B$305,B249,$D$6:$D$305))</f>
        <v/>
      </c>
      <c r="S249">
        <f>IF(OR(B249="",COUNTIF($B$6:$B249,B249)&gt;1),"",SUMPRODUCT((COUNTIF($B$5:B249,$B$6:$B$305)=1)*($R$6:$R$305&gt;R249)*($B$6:$B$305&lt;&gt;""))+1)</f>
        <v/>
      </c>
    </row>
    <row r="250">
      <c r="A250" s="43" t="n"/>
      <c r="B250" s="56" t="n"/>
      <c r="C250" s="56" t="n"/>
      <c r="D250" s="43" t="n"/>
      <c r="P250">
        <f>IF(B250="","",B250)</f>
        <v/>
      </c>
      <c r="Q250">
        <f>IF(C250="","",C250)</f>
        <v/>
      </c>
      <c r="R250">
        <f>IF(B250="","",SUMIF($B$6:$B$305,B250,$D$6:$D$305))</f>
        <v/>
      </c>
      <c r="S250">
        <f>IF(OR(B250="",COUNTIF($B$6:$B250,B250)&gt;1),"",SUMPRODUCT((COUNTIF($B$5:B250,$B$6:$B$305)=1)*($R$6:$R$305&gt;R250)*($B$6:$B$305&lt;&gt;""))+1)</f>
        <v/>
      </c>
    </row>
    <row r="251">
      <c r="A251" s="43" t="n"/>
      <c r="B251" s="56" t="n"/>
      <c r="C251" s="56" t="n"/>
      <c r="D251" s="43" t="n"/>
      <c r="P251">
        <f>IF(B251="","",B251)</f>
        <v/>
      </c>
      <c r="Q251">
        <f>IF(C251="","",C251)</f>
        <v/>
      </c>
      <c r="R251">
        <f>IF(B251="","",SUMIF($B$6:$B$305,B251,$D$6:$D$305))</f>
        <v/>
      </c>
      <c r="S251">
        <f>IF(OR(B251="",COUNTIF($B$6:$B251,B251)&gt;1),"",SUMPRODUCT((COUNTIF($B$5:B251,$B$6:$B$305)=1)*($R$6:$R$305&gt;R251)*($B$6:$B$305&lt;&gt;""))+1)</f>
        <v/>
      </c>
    </row>
    <row r="252">
      <c r="A252" s="43" t="n"/>
      <c r="B252" s="56" t="n"/>
      <c r="C252" s="56" t="n"/>
      <c r="D252" s="43" t="n"/>
      <c r="P252">
        <f>IF(B252="","",B252)</f>
        <v/>
      </c>
      <c r="Q252">
        <f>IF(C252="","",C252)</f>
        <v/>
      </c>
      <c r="R252">
        <f>IF(B252="","",SUMIF($B$6:$B$305,B252,$D$6:$D$305))</f>
        <v/>
      </c>
      <c r="S252">
        <f>IF(OR(B252="",COUNTIF($B$6:$B252,B252)&gt;1),"",SUMPRODUCT((COUNTIF($B$5:B252,$B$6:$B$305)=1)*($R$6:$R$305&gt;R252)*($B$6:$B$305&lt;&gt;""))+1)</f>
        <v/>
      </c>
    </row>
    <row r="253">
      <c r="A253" s="43" t="n"/>
      <c r="B253" s="56" t="n"/>
      <c r="C253" s="56" t="n"/>
      <c r="D253" s="43" t="n"/>
      <c r="P253">
        <f>IF(B253="","",B253)</f>
        <v/>
      </c>
      <c r="Q253">
        <f>IF(C253="","",C253)</f>
        <v/>
      </c>
      <c r="R253">
        <f>IF(B253="","",SUMIF($B$6:$B$305,B253,$D$6:$D$305))</f>
        <v/>
      </c>
      <c r="S253">
        <f>IF(OR(B253="",COUNTIF($B$6:$B253,B253)&gt;1),"",SUMPRODUCT((COUNTIF($B$5:B253,$B$6:$B$305)=1)*($R$6:$R$305&gt;R253)*($B$6:$B$305&lt;&gt;""))+1)</f>
        <v/>
      </c>
    </row>
    <row r="254">
      <c r="A254" s="43" t="n"/>
      <c r="B254" s="56" t="n"/>
      <c r="C254" s="56" t="n"/>
      <c r="D254" s="43" t="n"/>
      <c r="P254">
        <f>IF(B254="","",B254)</f>
        <v/>
      </c>
      <c r="Q254">
        <f>IF(C254="","",C254)</f>
        <v/>
      </c>
      <c r="R254">
        <f>IF(B254="","",SUMIF($B$6:$B$305,B254,$D$6:$D$305))</f>
        <v/>
      </c>
      <c r="S254">
        <f>IF(OR(B254="",COUNTIF($B$6:$B254,B254)&gt;1),"",SUMPRODUCT((COUNTIF($B$5:B254,$B$6:$B$305)=1)*($R$6:$R$305&gt;R254)*($B$6:$B$305&lt;&gt;""))+1)</f>
        <v/>
      </c>
    </row>
    <row r="255">
      <c r="A255" s="43" t="n"/>
      <c r="B255" s="56" t="n"/>
      <c r="C255" s="56" t="n"/>
      <c r="D255" s="43" t="n"/>
      <c r="P255">
        <f>IF(B255="","",B255)</f>
        <v/>
      </c>
      <c r="Q255">
        <f>IF(C255="","",C255)</f>
        <v/>
      </c>
      <c r="R255">
        <f>IF(B255="","",SUMIF($B$6:$B$305,B255,$D$6:$D$305))</f>
        <v/>
      </c>
      <c r="S255">
        <f>IF(OR(B255="",COUNTIF($B$6:$B255,B255)&gt;1),"",SUMPRODUCT((COUNTIF($B$5:B255,$B$6:$B$305)=1)*($R$6:$R$305&gt;R255)*($B$6:$B$305&lt;&gt;""))+1)</f>
        <v/>
      </c>
    </row>
    <row r="256">
      <c r="A256" s="43" t="n"/>
      <c r="B256" s="56" t="n"/>
      <c r="C256" s="56" t="n"/>
      <c r="D256" s="43" t="n"/>
      <c r="P256">
        <f>IF(B256="","",B256)</f>
        <v/>
      </c>
      <c r="Q256">
        <f>IF(C256="","",C256)</f>
        <v/>
      </c>
      <c r="R256">
        <f>IF(B256="","",SUMIF($B$6:$B$305,B256,$D$6:$D$305))</f>
        <v/>
      </c>
      <c r="S256">
        <f>IF(OR(B256="",COUNTIF($B$6:$B256,B256)&gt;1),"",SUMPRODUCT((COUNTIF($B$5:B256,$B$6:$B$305)=1)*($R$6:$R$305&gt;R256)*($B$6:$B$305&lt;&gt;""))+1)</f>
        <v/>
      </c>
    </row>
    <row r="257">
      <c r="A257" s="43" t="n"/>
      <c r="B257" s="56" t="n"/>
      <c r="C257" s="56" t="n"/>
      <c r="D257" s="43" t="n"/>
      <c r="P257">
        <f>IF(B257="","",B257)</f>
        <v/>
      </c>
      <c r="Q257">
        <f>IF(C257="","",C257)</f>
        <v/>
      </c>
      <c r="R257">
        <f>IF(B257="","",SUMIF($B$6:$B$305,B257,$D$6:$D$305))</f>
        <v/>
      </c>
      <c r="S257">
        <f>IF(OR(B257="",COUNTIF($B$6:$B257,B257)&gt;1),"",SUMPRODUCT((COUNTIF($B$5:B257,$B$6:$B$305)=1)*($R$6:$R$305&gt;R257)*($B$6:$B$305&lt;&gt;""))+1)</f>
        <v/>
      </c>
    </row>
    <row r="258">
      <c r="A258" s="43" t="n"/>
      <c r="B258" s="56" t="n"/>
      <c r="C258" s="56" t="n"/>
      <c r="D258" s="43" t="n"/>
      <c r="P258">
        <f>IF(B258="","",B258)</f>
        <v/>
      </c>
      <c r="Q258">
        <f>IF(C258="","",C258)</f>
        <v/>
      </c>
      <c r="R258">
        <f>IF(B258="","",SUMIF($B$6:$B$305,B258,$D$6:$D$305))</f>
        <v/>
      </c>
      <c r="S258">
        <f>IF(OR(B258="",COUNTIF($B$6:$B258,B258)&gt;1),"",SUMPRODUCT((COUNTIF($B$5:B258,$B$6:$B$305)=1)*($R$6:$R$305&gt;R258)*($B$6:$B$305&lt;&gt;""))+1)</f>
        <v/>
      </c>
    </row>
    <row r="259">
      <c r="A259" s="43" t="n"/>
      <c r="B259" s="56" t="n"/>
      <c r="C259" s="56" t="n"/>
      <c r="D259" s="43" t="n"/>
      <c r="P259">
        <f>IF(B259="","",B259)</f>
        <v/>
      </c>
      <c r="Q259">
        <f>IF(C259="","",C259)</f>
        <v/>
      </c>
      <c r="R259">
        <f>IF(B259="","",SUMIF($B$6:$B$305,B259,$D$6:$D$305))</f>
        <v/>
      </c>
      <c r="S259">
        <f>IF(OR(B259="",COUNTIF($B$6:$B259,B259)&gt;1),"",SUMPRODUCT((COUNTIF($B$5:B259,$B$6:$B$305)=1)*($R$6:$R$305&gt;R259)*($B$6:$B$305&lt;&gt;""))+1)</f>
        <v/>
      </c>
    </row>
    <row r="260">
      <c r="A260" s="43" t="n"/>
      <c r="B260" s="56" t="n"/>
      <c r="C260" s="56" t="n"/>
      <c r="D260" s="43" t="n"/>
      <c r="P260">
        <f>IF(B260="","",B260)</f>
        <v/>
      </c>
      <c r="Q260">
        <f>IF(C260="","",C260)</f>
        <v/>
      </c>
      <c r="R260">
        <f>IF(B260="","",SUMIF($B$6:$B$305,B260,$D$6:$D$305))</f>
        <v/>
      </c>
      <c r="S260">
        <f>IF(OR(B260="",COUNTIF($B$6:$B260,B260)&gt;1),"",SUMPRODUCT((COUNTIF($B$5:B260,$B$6:$B$305)=1)*($R$6:$R$305&gt;R260)*($B$6:$B$305&lt;&gt;""))+1)</f>
        <v/>
      </c>
    </row>
    <row r="261">
      <c r="A261" s="43" t="n"/>
      <c r="B261" s="56" t="n"/>
      <c r="C261" s="56" t="n"/>
      <c r="D261" s="43" t="n"/>
      <c r="P261">
        <f>IF(B261="","",B261)</f>
        <v/>
      </c>
      <c r="Q261">
        <f>IF(C261="","",C261)</f>
        <v/>
      </c>
      <c r="R261">
        <f>IF(B261="","",SUMIF($B$6:$B$305,B261,$D$6:$D$305))</f>
        <v/>
      </c>
      <c r="S261">
        <f>IF(OR(B261="",COUNTIF($B$6:$B261,B261)&gt;1),"",SUMPRODUCT((COUNTIF($B$5:B261,$B$6:$B$305)=1)*($R$6:$R$305&gt;R261)*($B$6:$B$305&lt;&gt;""))+1)</f>
        <v/>
      </c>
    </row>
    <row r="262">
      <c r="A262" s="43" t="n"/>
      <c r="B262" s="56" t="n"/>
      <c r="C262" s="56" t="n"/>
      <c r="D262" s="43" t="n"/>
      <c r="P262">
        <f>IF(B262="","",B262)</f>
        <v/>
      </c>
      <c r="Q262">
        <f>IF(C262="","",C262)</f>
        <v/>
      </c>
      <c r="R262">
        <f>IF(B262="","",SUMIF($B$6:$B$305,B262,$D$6:$D$305))</f>
        <v/>
      </c>
      <c r="S262">
        <f>IF(OR(B262="",COUNTIF($B$6:$B262,B262)&gt;1),"",SUMPRODUCT((COUNTIF($B$5:B262,$B$6:$B$305)=1)*($R$6:$R$305&gt;R262)*($B$6:$B$305&lt;&gt;""))+1)</f>
        <v/>
      </c>
    </row>
    <row r="263">
      <c r="A263" s="43" t="n"/>
      <c r="B263" s="56" t="n"/>
      <c r="C263" s="56" t="n"/>
      <c r="D263" s="43" t="n"/>
      <c r="P263">
        <f>IF(B263="","",B263)</f>
        <v/>
      </c>
      <c r="Q263">
        <f>IF(C263="","",C263)</f>
        <v/>
      </c>
      <c r="R263">
        <f>IF(B263="","",SUMIF($B$6:$B$305,B263,$D$6:$D$305))</f>
        <v/>
      </c>
      <c r="S263">
        <f>IF(OR(B263="",COUNTIF($B$6:$B263,B263)&gt;1),"",SUMPRODUCT((COUNTIF($B$5:B263,$B$6:$B$305)=1)*($R$6:$R$305&gt;R263)*($B$6:$B$305&lt;&gt;""))+1)</f>
        <v/>
      </c>
    </row>
    <row r="264">
      <c r="A264" s="43" t="n"/>
      <c r="B264" s="56" t="n"/>
      <c r="C264" s="56" t="n"/>
      <c r="D264" s="43" t="n"/>
      <c r="P264">
        <f>IF(B264="","",B264)</f>
        <v/>
      </c>
      <c r="Q264">
        <f>IF(C264="","",C264)</f>
        <v/>
      </c>
      <c r="R264">
        <f>IF(B264="","",SUMIF($B$6:$B$305,B264,$D$6:$D$305))</f>
        <v/>
      </c>
      <c r="S264">
        <f>IF(OR(B264="",COUNTIF($B$6:$B264,B264)&gt;1),"",SUMPRODUCT((COUNTIF($B$5:B264,$B$6:$B$305)=1)*($R$6:$R$305&gt;R264)*($B$6:$B$305&lt;&gt;""))+1)</f>
        <v/>
      </c>
    </row>
    <row r="265">
      <c r="A265" s="43" t="n"/>
      <c r="B265" s="56" t="n"/>
      <c r="C265" s="56" t="n"/>
      <c r="D265" s="43" t="n"/>
      <c r="P265">
        <f>IF(B265="","",B265)</f>
        <v/>
      </c>
      <c r="Q265">
        <f>IF(C265="","",C265)</f>
        <v/>
      </c>
      <c r="R265">
        <f>IF(B265="","",SUMIF($B$6:$B$305,B265,$D$6:$D$305))</f>
        <v/>
      </c>
      <c r="S265">
        <f>IF(OR(B265="",COUNTIF($B$6:$B265,B265)&gt;1),"",SUMPRODUCT((COUNTIF($B$5:B265,$B$6:$B$305)=1)*($R$6:$R$305&gt;R265)*($B$6:$B$305&lt;&gt;""))+1)</f>
        <v/>
      </c>
    </row>
    <row r="266">
      <c r="A266" s="43" t="n"/>
      <c r="B266" s="56" t="n"/>
      <c r="C266" s="56" t="n"/>
      <c r="D266" s="43" t="n"/>
      <c r="P266">
        <f>IF(B266="","",B266)</f>
        <v/>
      </c>
      <c r="Q266">
        <f>IF(C266="","",C266)</f>
        <v/>
      </c>
      <c r="R266">
        <f>IF(B266="","",SUMIF($B$6:$B$305,B266,$D$6:$D$305))</f>
        <v/>
      </c>
      <c r="S266">
        <f>IF(OR(B266="",COUNTIF($B$6:$B266,B266)&gt;1),"",SUMPRODUCT((COUNTIF($B$5:B266,$B$6:$B$305)=1)*($R$6:$R$305&gt;R266)*($B$6:$B$305&lt;&gt;""))+1)</f>
        <v/>
      </c>
    </row>
    <row r="267">
      <c r="A267" s="43" t="n"/>
      <c r="B267" s="56" t="n"/>
      <c r="C267" s="56" t="n"/>
      <c r="D267" s="43" t="n"/>
      <c r="P267">
        <f>IF(B267="","",B267)</f>
        <v/>
      </c>
      <c r="Q267">
        <f>IF(C267="","",C267)</f>
        <v/>
      </c>
      <c r="R267">
        <f>IF(B267="","",SUMIF($B$6:$B$305,B267,$D$6:$D$305))</f>
        <v/>
      </c>
      <c r="S267">
        <f>IF(OR(B267="",COUNTIF($B$6:$B267,B267)&gt;1),"",SUMPRODUCT((COUNTIF($B$5:B267,$B$6:$B$305)=1)*($R$6:$R$305&gt;R267)*($B$6:$B$305&lt;&gt;""))+1)</f>
        <v/>
      </c>
    </row>
    <row r="268">
      <c r="A268" s="43" t="n"/>
      <c r="B268" s="56" t="n"/>
      <c r="C268" s="56" t="n"/>
      <c r="D268" s="43" t="n"/>
      <c r="P268">
        <f>IF(B268="","",B268)</f>
        <v/>
      </c>
      <c r="Q268">
        <f>IF(C268="","",C268)</f>
        <v/>
      </c>
      <c r="R268">
        <f>IF(B268="","",SUMIF($B$6:$B$305,B268,$D$6:$D$305))</f>
        <v/>
      </c>
      <c r="S268">
        <f>IF(OR(B268="",COUNTIF($B$6:$B268,B268)&gt;1),"",SUMPRODUCT((COUNTIF($B$5:B268,$B$6:$B$305)=1)*($R$6:$R$305&gt;R268)*($B$6:$B$305&lt;&gt;""))+1)</f>
        <v/>
      </c>
    </row>
    <row r="269">
      <c r="A269" s="43" t="n"/>
      <c r="B269" s="56" t="n"/>
      <c r="C269" s="56" t="n"/>
      <c r="D269" s="43" t="n"/>
      <c r="P269">
        <f>IF(B269="","",B269)</f>
        <v/>
      </c>
      <c r="Q269">
        <f>IF(C269="","",C269)</f>
        <v/>
      </c>
      <c r="R269">
        <f>IF(B269="","",SUMIF($B$6:$B$305,B269,$D$6:$D$305))</f>
        <v/>
      </c>
      <c r="S269">
        <f>IF(OR(B269="",COUNTIF($B$6:$B269,B269)&gt;1),"",SUMPRODUCT((COUNTIF($B$5:B269,$B$6:$B$305)=1)*($R$6:$R$305&gt;R269)*($B$6:$B$305&lt;&gt;""))+1)</f>
        <v/>
      </c>
    </row>
    <row r="270">
      <c r="A270" s="43" t="n"/>
      <c r="B270" s="56" t="n"/>
      <c r="C270" s="56" t="n"/>
      <c r="D270" s="43" t="n"/>
      <c r="P270">
        <f>IF(B270="","",B270)</f>
        <v/>
      </c>
      <c r="Q270">
        <f>IF(C270="","",C270)</f>
        <v/>
      </c>
      <c r="R270">
        <f>IF(B270="","",SUMIF($B$6:$B$305,B270,$D$6:$D$305))</f>
        <v/>
      </c>
      <c r="S270">
        <f>IF(OR(B270="",COUNTIF($B$6:$B270,B270)&gt;1),"",SUMPRODUCT((COUNTIF($B$5:B270,$B$6:$B$305)=1)*($R$6:$R$305&gt;R270)*($B$6:$B$305&lt;&gt;""))+1)</f>
        <v/>
      </c>
    </row>
    <row r="271">
      <c r="A271" s="43" t="n"/>
      <c r="B271" s="56" t="n"/>
      <c r="C271" s="56" t="n"/>
      <c r="D271" s="43" t="n"/>
      <c r="P271">
        <f>IF(B271="","",B271)</f>
        <v/>
      </c>
      <c r="Q271">
        <f>IF(C271="","",C271)</f>
        <v/>
      </c>
      <c r="R271">
        <f>IF(B271="","",SUMIF($B$6:$B$305,B271,$D$6:$D$305))</f>
        <v/>
      </c>
      <c r="S271">
        <f>IF(OR(B271="",COUNTIF($B$6:$B271,B271)&gt;1),"",SUMPRODUCT((COUNTIF($B$5:B271,$B$6:$B$305)=1)*($R$6:$R$305&gt;R271)*($B$6:$B$305&lt;&gt;""))+1)</f>
        <v/>
      </c>
    </row>
    <row r="272">
      <c r="A272" s="43" t="n"/>
      <c r="B272" s="56" t="n"/>
      <c r="C272" s="56" t="n"/>
      <c r="D272" s="43" t="n"/>
      <c r="P272">
        <f>IF(B272="","",B272)</f>
        <v/>
      </c>
      <c r="Q272">
        <f>IF(C272="","",C272)</f>
        <v/>
      </c>
      <c r="R272">
        <f>IF(B272="","",SUMIF($B$6:$B$305,B272,$D$6:$D$305))</f>
        <v/>
      </c>
      <c r="S272">
        <f>IF(OR(B272="",COUNTIF($B$6:$B272,B272)&gt;1),"",SUMPRODUCT((COUNTIF($B$5:B272,$B$6:$B$305)=1)*($R$6:$R$305&gt;R272)*($B$6:$B$305&lt;&gt;""))+1)</f>
        <v/>
      </c>
    </row>
    <row r="273">
      <c r="A273" s="43" t="n"/>
      <c r="B273" s="56" t="n"/>
      <c r="C273" s="56" t="n"/>
      <c r="D273" s="43" t="n"/>
      <c r="P273">
        <f>IF(B273="","",B273)</f>
        <v/>
      </c>
      <c r="Q273">
        <f>IF(C273="","",C273)</f>
        <v/>
      </c>
      <c r="R273">
        <f>IF(B273="","",SUMIF($B$6:$B$305,B273,$D$6:$D$305))</f>
        <v/>
      </c>
      <c r="S273">
        <f>IF(OR(B273="",COUNTIF($B$6:$B273,B273)&gt;1),"",SUMPRODUCT((COUNTIF($B$5:B273,$B$6:$B$305)=1)*($R$6:$R$305&gt;R273)*($B$6:$B$305&lt;&gt;""))+1)</f>
        <v/>
      </c>
    </row>
    <row r="274">
      <c r="A274" s="43" t="n"/>
      <c r="B274" s="56" t="n"/>
      <c r="C274" s="56" t="n"/>
      <c r="D274" s="43" t="n"/>
      <c r="P274">
        <f>IF(B274="","",B274)</f>
        <v/>
      </c>
      <c r="Q274">
        <f>IF(C274="","",C274)</f>
        <v/>
      </c>
      <c r="R274">
        <f>IF(B274="","",SUMIF($B$6:$B$305,B274,$D$6:$D$305))</f>
        <v/>
      </c>
      <c r="S274">
        <f>IF(OR(B274="",COUNTIF($B$6:$B274,B274)&gt;1),"",SUMPRODUCT((COUNTIF($B$5:B274,$B$6:$B$305)=1)*($R$6:$R$305&gt;R274)*($B$6:$B$305&lt;&gt;""))+1)</f>
        <v/>
      </c>
    </row>
    <row r="275">
      <c r="A275" s="43" t="n"/>
      <c r="B275" s="56" t="n"/>
      <c r="C275" s="56" t="n"/>
      <c r="D275" s="43" t="n"/>
      <c r="P275">
        <f>IF(B275="","",B275)</f>
        <v/>
      </c>
      <c r="Q275">
        <f>IF(C275="","",C275)</f>
        <v/>
      </c>
      <c r="R275">
        <f>IF(B275="","",SUMIF($B$6:$B$305,B275,$D$6:$D$305))</f>
        <v/>
      </c>
      <c r="S275">
        <f>IF(OR(B275="",COUNTIF($B$6:$B275,B275)&gt;1),"",SUMPRODUCT((COUNTIF($B$5:B275,$B$6:$B$305)=1)*($R$6:$R$305&gt;R275)*($B$6:$B$305&lt;&gt;""))+1)</f>
        <v/>
      </c>
    </row>
    <row r="276">
      <c r="A276" s="43" t="n"/>
      <c r="B276" s="56" t="n"/>
      <c r="C276" s="56" t="n"/>
      <c r="D276" s="43" t="n"/>
      <c r="P276">
        <f>IF(B276="","",B276)</f>
        <v/>
      </c>
      <c r="Q276">
        <f>IF(C276="","",C276)</f>
        <v/>
      </c>
      <c r="R276">
        <f>IF(B276="","",SUMIF($B$6:$B$305,B276,$D$6:$D$305))</f>
        <v/>
      </c>
      <c r="S276">
        <f>IF(OR(B276="",COUNTIF($B$6:$B276,B276)&gt;1),"",SUMPRODUCT((COUNTIF($B$5:B276,$B$6:$B$305)=1)*($R$6:$R$305&gt;R276)*($B$6:$B$305&lt;&gt;""))+1)</f>
        <v/>
      </c>
    </row>
    <row r="277">
      <c r="A277" s="43" t="n"/>
      <c r="B277" s="56" t="n"/>
      <c r="C277" s="56" t="n"/>
      <c r="D277" s="43" t="n"/>
      <c r="P277">
        <f>IF(B277="","",B277)</f>
        <v/>
      </c>
      <c r="Q277">
        <f>IF(C277="","",C277)</f>
        <v/>
      </c>
      <c r="R277">
        <f>IF(B277="","",SUMIF($B$6:$B$305,B277,$D$6:$D$305))</f>
        <v/>
      </c>
      <c r="S277">
        <f>IF(OR(B277="",COUNTIF($B$6:$B277,B277)&gt;1),"",SUMPRODUCT((COUNTIF($B$5:B277,$B$6:$B$305)=1)*($R$6:$R$305&gt;R277)*($B$6:$B$305&lt;&gt;""))+1)</f>
        <v/>
      </c>
    </row>
    <row r="278">
      <c r="A278" s="43" t="n"/>
      <c r="B278" s="56" t="n"/>
      <c r="C278" s="56" t="n"/>
      <c r="D278" s="43" t="n"/>
      <c r="P278">
        <f>IF(B278="","",B278)</f>
        <v/>
      </c>
      <c r="Q278">
        <f>IF(C278="","",C278)</f>
        <v/>
      </c>
      <c r="R278">
        <f>IF(B278="","",SUMIF($B$6:$B$305,B278,$D$6:$D$305))</f>
        <v/>
      </c>
      <c r="S278">
        <f>IF(OR(B278="",COUNTIF($B$6:$B278,B278)&gt;1),"",SUMPRODUCT((COUNTIF($B$5:B278,$B$6:$B$305)=1)*($R$6:$R$305&gt;R278)*($B$6:$B$305&lt;&gt;""))+1)</f>
        <v/>
      </c>
    </row>
    <row r="279">
      <c r="A279" s="43" t="n"/>
      <c r="B279" s="56" t="n"/>
      <c r="C279" s="56" t="n"/>
      <c r="D279" s="43" t="n"/>
      <c r="P279">
        <f>IF(B279="","",B279)</f>
        <v/>
      </c>
      <c r="Q279">
        <f>IF(C279="","",C279)</f>
        <v/>
      </c>
      <c r="R279">
        <f>IF(B279="","",SUMIF($B$6:$B$305,B279,$D$6:$D$305))</f>
        <v/>
      </c>
      <c r="S279">
        <f>IF(OR(B279="",COUNTIF($B$6:$B279,B279)&gt;1),"",SUMPRODUCT((COUNTIF($B$5:B279,$B$6:$B$305)=1)*($R$6:$R$305&gt;R279)*($B$6:$B$305&lt;&gt;""))+1)</f>
        <v/>
      </c>
    </row>
    <row r="280">
      <c r="A280" s="43" t="n"/>
      <c r="B280" s="56" t="n"/>
      <c r="C280" s="56" t="n"/>
      <c r="D280" s="43" t="n"/>
      <c r="P280">
        <f>IF(B280="","",B280)</f>
        <v/>
      </c>
      <c r="Q280">
        <f>IF(C280="","",C280)</f>
        <v/>
      </c>
      <c r="R280">
        <f>IF(B280="","",SUMIF($B$6:$B$305,B280,$D$6:$D$305))</f>
        <v/>
      </c>
      <c r="S280">
        <f>IF(OR(B280="",COUNTIF($B$6:$B280,B280)&gt;1),"",SUMPRODUCT((COUNTIF($B$5:B280,$B$6:$B$305)=1)*($R$6:$R$305&gt;R280)*($B$6:$B$305&lt;&gt;""))+1)</f>
        <v/>
      </c>
    </row>
    <row r="281">
      <c r="A281" s="43" t="n"/>
      <c r="B281" s="56" t="n"/>
      <c r="C281" s="56" t="n"/>
      <c r="D281" s="43" t="n"/>
      <c r="P281">
        <f>IF(B281="","",B281)</f>
        <v/>
      </c>
      <c r="Q281">
        <f>IF(C281="","",C281)</f>
        <v/>
      </c>
      <c r="R281">
        <f>IF(B281="","",SUMIF($B$6:$B$305,B281,$D$6:$D$305))</f>
        <v/>
      </c>
      <c r="S281">
        <f>IF(OR(B281="",COUNTIF($B$6:$B281,B281)&gt;1),"",SUMPRODUCT((COUNTIF($B$5:B281,$B$6:$B$305)=1)*($R$6:$R$305&gt;R281)*($B$6:$B$305&lt;&gt;""))+1)</f>
        <v/>
      </c>
    </row>
    <row r="282">
      <c r="A282" s="43" t="n"/>
      <c r="B282" s="56" t="n"/>
      <c r="C282" s="56" t="n"/>
      <c r="D282" s="43" t="n"/>
      <c r="P282">
        <f>IF(B282="","",B282)</f>
        <v/>
      </c>
      <c r="Q282">
        <f>IF(C282="","",C282)</f>
        <v/>
      </c>
      <c r="R282">
        <f>IF(B282="","",SUMIF($B$6:$B$305,B282,$D$6:$D$305))</f>
        <v/>
      </c>
      <c r="S282">
        <f>IF(OR(B282="",COUNTIF($B$6:$B282,B282)&gt;1),"",SUMPRODUCT((COUNTIF($B$5:B282,$B$6:$B$305)=1)*($R$6:$R$305&gt;R282)*($B$6:$B$305&lt;&gt;""))+1)</f>
        <v/>
      </c>
    </row>
    <row r="283">
      <c r="A283" s="43" t="n"/>
      <c r="B283" s="56" t="n"/>
      <c r="C283" s="56" t="n"/>
      <c r="D283" s="43" t="n"/>
      <c r="P283">
        <f>IF(B283="","",B283)</f>
        <v/>
      </c>
      <c r="Q283">
        <f>IF(C283="","",C283)</f>
        <v/>
      </c>
      <c r="R283">
        <f>IF(B283="","",SUMIF($B$6:$B$305,B283,$D$6:$D$305))</f>
        <v/>
      </c>
      <c r="S283">
        <f>IF(OR(B283="",COUNTIF($B$6:$B283,B283)&gt;1),"",SUMPRODUCT((COUNTIF($B$5:B283,$B$6:$B$305)=1)*($R$6:$R$305&gt;R283)*($B$6:$B$305&lt;&gt;""))+1)</f>
        <v/>
      </c>
    </row>
    <row r="284">
      <c r="A284" s="43" t="n"/>
      <c r="B284" s="56" t="n"/>
      <c r="C284" s="56" t="n"/>
      <c r="D284" s="43" t="n"/>
      <c r="P284">
        <f>IF(B284="","",B284)</f>
        <v/>
      </c>
      <c r="Q284">
        <f>IF(C284="","",C284)</f>
        <v/>
      </c>
      <c r="R284">
        <f>IF(B284="","",SUMIF($B$6:$B$305,B284,$D$6:$D$305))</f>
        <v/>
      </c>
      <c r="S284">
        <f>IF(OR(B284="",COUNTIF($B$6:$B284,B284)&gt;1),"",SUMPRODUCT((COUNTIF($B$5:B284,$B$6:$B$305)=1)*($R$6:$R$305&gt;R284)*($B$6:$B$305&lt;&gt;""))+1)</f>
        <v/>
      </c>
    </row>
    <row r="285">
      <c r="A285" s="43" t="n"/>
      <c r="B285" s="56" t="n"/>
      <c r="C285" s="56" t="n"/>
      <c r="D285" s="43" t="n"/>
      <c r="P285">
        <f>IF(B285="","",B285)</f>
        <v/>
      </c>
      <c r="Q285">
        <f>IF(C285="","",C285)</f>
        <v/>
      </c>
      <c r="R285">
        <f>IF(B285="","",SUMIF($B$6:$B$305,B285,$D$6:$D$305))</f>
        <v/>
      </c>
      <c r="S285">
        <f>IF(OR(B285="",COUNTIF($B$6:$B285,B285)&gt;1),"",SUMPRODUCT((COUNTIF($B$5:B285,$B$6:$B$305)=1)*($R$6:$R$305&gt;R285)*($B$6:$B$305&lt;&gt;""))+1)</f>
        <v/>
      </c>
    </row>
    <row r="286">
      <c r="A286" s="43" t="n"/>
      <c r="B286" s="56" t="n"/>
      <c r="C286" s="56" t="n"/>
      <c r="D286" s="43" t="n"/>
      <c r="P286">
        <f>IF(B286="","",B286)</f>
        <v/>
      </c>
      <c r="Q286">
        <f>IF(C286="","",C286)</f>
        <v/>
      </c>
      <c r="R286">
        <f>IF(B286="","",SUMIF($B$6:$B$305,B286,$D$6:$D$305))</f>
        <v/>
      </c>
      <c r="S286">
        <f>IF(OR(B286="",COUNTIF($B$6:$B286,B286)&gt;1),"",SUMPRODUCT((COUNTIF($B$5:B286,$B$6:$B$305)=1)*($R$6:$R$305&gt;R286)*($B$6:$B$305&lt;&gt;""))+1)</f>
        <v/>
      </c>
    </row>
    <row r="287">
      <c r="A287" s="43" t="n"/>
      <c r="B287" s="56" t="n"/>
      <c r="C287" s="56" t="n"/>
      <c r="D287" s="43" t="n"/>
      <c r="P287">
        <f>IF(B287="","",B287)</f>
        <v/>
      </c>
      <c r="Q287">
        <f>IF(C287="","",C287)</f>
        <v/>
      </c>
      <c r="R287">
        <f>IF(B287="","",SUMIF($B$6:$B$305,B287,$D$6:$D$305))</f>
        <v/>
      </c>
      <c r="S287">
        <f>IF(OR(B287="",COUNTIF($B$6:$B287,B287)&gt;1),"",SUMPRODUCT((COUNTIF($B$5:B287,$B$6:$B$305)=1)*($R$6:$R$305&gt;R287)*($B$6:$B$305&lt;&gt;""))+1)</f>
        <v/>
      </c>
    </row>
    <row r="288">
      <c r="A288" s="43" t="n"/>
      <c r="B288" s="56" t="n"/>
      <c r="C288" s="56" t="n"/>
      <c r="D288" s="43" t="n"/>
      <c r="P288">
        <f>IF(B288="","",B288)</f>
        <v/>
      </c>
      <c r="Q288">
        <f>IF(C288="","",C288)</f>
        <v/>
      </c>
      <c r="R288">
        <f>IF(B288="","",SUMIF($B$6:$B$305,B288,$D$6:$D$305))</f>
        <v/>
      </c>
      <c r="S288">
        <f>IF(OR(B288="",COUNTIF($B$6:$B288,B288)&gt;1),"",SUMPRODUCT((COUNTIF($B$5:B288,$B$6:$B$305)=1)*($R$6:$R$305&gt;R288)*($B$6:$B$305&lt;&gt;""))+1)</f>
        <v/>
      </c>
    </row>
    <row r="289">
      <c r="A289" s="43" t="n"/>
      <c r="B289" s="56" t="n"/>
      <c r="C289" s="56" t="n"/>
      <c r="D289" s="43" t="n"/>
      <c r="P289">
        <f>IF(B289="","",B289)</f>
        <v/>
      </c>
      <c r="Q289">
        <f>IF(C289="","",C289)</f>
        <v/>
      </c>
      <c r="R289">
        <f>IF(B289="","",SUMIF($B$6:$B$305,B289,$D$6:$D$305))</f>
        <v/>
      </c>
      <c r="S289">
        <f>IF(OR(B289="",COUNTIF($B$6:$B289,B289)&gt;1),"",SUMPRODUCT((COUNTIF($B$5:B289,$B$6:$B$305)=1)*($R$6:$R$305&gt;R289)*($B$6:$B$305&lt;&gt;""))+1)</f>
        <v/>
      </c>
    </row>
    <row r="290">
      <c r="A290" s="43" t="n"/>
      <c r="B290" s="56" t="n"/>
      <c r="C290" s="56" t="n"/>
      <c r="D290" s="43" t="n"/>
      <c r="P290">
        <f>IF(B290="","",B290)</f>
        <v/>
      </c>
      <c r="Q290">
        <f>IF(C290="","",C290)</f>
        <v/>
      </c>
      <c r="R290">
        <f>IF(B290="","",SUMIF($B$6:$B$305,B290,$D$6:$D$305))</f>
        <v/>
      </c>
      <c r="S290">
        <f>IF(OR(B290="",COUNTIF($B$6:$B290,B290)&gt;1),"",SUMPRODUCT((COUNTIF($B$5:B290,$B$6:$B$305)=1)*($R$6:$R$305&gt;R290)*($B$6:$B$305&lt;&gt;""))+1)</f>
        <v/>
      </c>
    </row>
    <row r="291">
      <c r="A291" s="43" t="n"/>
      <c r="B291" s="56" t="n"/>
      <c r="C291" s="56" t="n"/>
      <c r="D291" s="43" t="n"/>
      <c r="P291">
        <f>IF(B291="","",B291)</f>
        <v/>
      </c>
      <c r="Q291">
        <f>IF(C291="","",C291)</f>
        <v/>
      </c>
      <c r="R291">
        <f>IF(B291="","",SUMIF($B$6:$B$305,B291,$D$6:$D$305))</f>
        <v/>
      </c>
      <c r="S291">
        <f>IF(OR(B291="",COUNTIF($B$6:$B291,B291)&gt;1),"",SUMPRODUCT((COUNTIF($B$5:B291,$B$6:$B$305)=1)*($R$6:$R$305&gt;R291)*($B$6:$B$305&lt;&gt;""))+1)</f>
        <v/>
      </c>
    </row>
    <row r="292">
      <c r="A292" s="43" t="n"/>
      <c r="B292" s="56" t="n"/>
      <c r="C292" s="56" t="n"/>
      <c r="D292" s="43" t="n"/>
      <c r="P292">
        <f>IF(B292="","",B292)</f>
        <v/>
      </c>
      <c r="Q292">
        <f>IF(C292="","",C292)</f>
        <v/>
      </c>
      <c r="R292">
        <f>IF(B292="","",SUMIF($B$6:$B$305,B292,$D$6:$D$305))</f>
        <v/>
      </c>
      <c r="S292">
        <f>IF(OR(B292="",COUNTIF($B$6:$B292,B292)&gt;1),"",SUMPRODUCT((COUNTIF($B$5:B292,$B$6:$B$305)=1)*($R$6:$R$305&gt;R292)*($B$6:$B$305&lt;&gt;""))+1)</f>
        <v/>
      </c>
    </row>
    <row r="293">
      <c r="A293" s="43" t="n"/>
      <c r="B293" s="56" t="n"/>
      <c r="C293" s="56" t="n"/>
      <c r="D293" s="43" t="n"/>
      <c r="P293">
        <f>IF(B293="","",B293)</f>
        <v/>
      </c>
      <c r="Q293">
        <f>IF(C293="","",C293)</f>
        <v/>
      </c>
      <c r="R293">
        <f>IF(B293="","",SUMIF($B$6:$B$305,B293,$D$6:$D$305))</f>
        <v/>
      </c>
      <c r="S293">
        <f>IF(OR(B293="",COUNTIF($B$6:$B293,B293)&gt;1),"",SUMPRODUCT((COUNTIF($B$5:B293,$B$6:$B$305)=1)*($R$6:$R$305&gt;R293)*($B$6:$B$305&lt;&gt;""))+1)</f>
        <v/>
      </c>
    </row>
    <row r="294">
      <c r="A294" s="43" t="n"/>
      <c r="B294" s="56" t="n"/>
      <c r="C294" s="56" t="n"/>
      <c r="D294" s="43" t="n"/>
      <c r="P294">
        <f>IF(B294="","",B294)</f>
        <v/>
      </c>
      <c r="Q294">
        <f>IF(C294="","",C294)</f>
        <v/>
      </c>
      <c r="R294">
        <f>IF(B294="","",SUMIF($B$6:$B$305,B294,$D$6:$D$305))</f>
        <v/>
      </c>
      <c r="S294">
        <f>IF(OR(B294="",COUNTIF($B$6:$B294,B294)&gt;1),"",SUMPRODUCT((COUNTIF($B$5:B294,$B$6:$B$305)=1)*($R$6:$R$305&gt;R294)*($B$6:$B$305&lt;&gt;""))+1)</f>
        <v/>
      </c>
    </row>
    <row r="295">
      <c r="A295" s="43" t="n"/>
      <c r="B295" s="56" t="n"/>
      <c r="C295" s="56" t="n"/>
      <c r="D295" s="43" t="n"/>
      <c r="P295">
        <f>IF(B295="","",B295)</f>
        <v/>
      </c>
      <c r="Q295">
        <f>IF(C295="","",C295)</f>
        <v/>
      </c>
      <c r="R295">
        <f>IF(B295="","",SUMIF($B$6:$B$305,B295,$D$6:$D$305))</f>
        <v/>
      </c>
      <c r="S295">
        <f>IF(OR(B295="",COUNTIF($B$6:$B295,B295)&gt;1),"",SUMPRODUCT((COUNTIF($B$5:B295,$B$6:$B$305)=1)*($R$6:$R$305&gt;R295)*($B$6:$B$305&lt;&gt;""))+1)</f>
        <v/>
      </c>
    </row>
    <row r="296">
      <c r="A296" s="43" t="n"/>
      <c r="B296" s="56" t="n"/>
      <c r="C296" s="56" t="n"/>
      <c r="D296" s="43" t="n"/>
      <c r="P296">
        <f>IF(B296="","",B296)</f>
        <v/>
      </c>
      <c r="Q296">
        <f>IF(C296="","",C296)</f>
        <v/>
      </c>
      <c r="R296">
        <f>IF(B296="","",SUMIF($B$6:$B$305,B296,$D$6:$D$305))</f>
        <v/>
      </c>
      <c r="S296">
        <f>IF(OR(B296="",COUNTIF($B$6:$B296,B296)&gt;1),"",SUMPRODUCT((COUNTIF($B$5:B296,$B$6:$B$305)=1)*($R$6:$R$305&gt;R296)*($B$6:$B$305&lt;&gt;""))+1)</f>
        <v/>
      </c>
    </row>
    <row r="297">
      <c r="A297" s="43" t="n"/>
      <c r="B297" s="56" t="n"/>
      <c r="C297" s="56" t="n"/>
      <c r="D297" s="43" t="n"/>
      <c r="P297">
        <f>IF(B297="","",B297)</f>
        <v/>
      </c>
      <c r="Q297">
        <f>IF(C297="","",C297)</f>
        <v/>
      </c>
      <c r="R297">
        <f>IF(B297="","",SUMIF($B$6:$B$305,B297,$D$6:$D$305))</f>
        <v/>
      </c>
      <c r="S297">
        <f>IF(OR(B297="",COUNTIF($B$6:$B297,B297)&gt;1),"",SUMPRODUCT((COUNTIF($B$5:B297,$B$6:$B$305)=1)*($R$6:$R$305&gt;R297)*($B$6:$B$305&lt;&gt;""))+1)</f>
        <v/>
      </c>
    </row>
    <row r="298">
      <c r="A298" s="43" t="n"/>
      <c r="B298" s="56" t="n"/>
      <c r="C298" s="56" t="n"/>
      <c r="D298" s="43" t="n"/>
      <c r="P298">
        <f>IF(B298="","",B298)</f>
        <v/>
      </c>
      <c r="Q298">
        <f>IF(C298="","",C298)</f>
        <v/>
      </c>
      <c r="R298">
        <f>IF(B298="","",SUMIF($B$6:$B$305,B298,$D$6:$D$305))</f>
        <v/>
      </c>
      <c r="S298">
        <f>IF(OR(B298="",COUNTIF($B$6:$B298,B298)&gt;1),"",SUMPRODUCT((COUNTIF($B$5:B298,$B$6:$B$305)=1)*($R$6:$R$305&gt;R298)*($B$6:$B$305&lt;&gt;""))+1)</f>
        <v/>
      </c>
    </row>
    <row r="299">
      <c r="A299" s="43" t="n"/>
      <c r="B299" s="56" t="n"/>
      <c r="C299" s="56" t="n"/>
      <c r="D299" s="43" t="n"/>
      <c r="P299">
        <f>IF(B299="","",B299)</f>
        <v/>
      </c>
      <c r="Q299">
        <f>IF(C299="","",C299)</f>
        <v/>
      </c>
      <c r="R299">
        <f>IF(B299="","",SUMIF($B$6:$B$305,B299,$D$6:$D$305))</f>
        <v/>
      </c>
      <c r="S299">
        <f>IF(OR(B299="",COUNTIF($B$6:$B299,B299)&gt;1),"",SUMPRODUCT((COUNTIF($B$5:B299,$B$6:$B$305)=1)*($R$6:$R$305&gt;R299)*($B$6:$B$305&lt;&gt;""))+1)</f>
        <v/>
      </c>
    </row>
    <row r="300">
      <c r="A300" s="43" t="n"/>
      <c r="B300" s="56" t="n"/>
      <c r="C300" s="56" t="n"/>
      <c r="D300" s="43" t="n"/>
      <c r="P300">
        <f>IF(B300="","",B300)</f>
        <v/>
      </c>
      <c r="Q300">
        <f>IF(C300="","",C300)</f>
        <v/>
      </c>
      <c r="R300">
        <f>IF(B300="","",SUMIF($B$6:$B$305,B300,$D$6:$D$305))</f>
        <v/>
      </c>
      <c r="S300">
        <f>IF(OR(B300="",COUNTIF($B$6:$B300,B300)&gt;1),"",SUMPRODUCT((COUNTIF($B$5:B300,$B$6:$B$305)=1)*($R$6:$R$305&gt;R300)*($B$6:$B$305&lt;&gt;""))+1)</f>
        <v/>
      </c>
    </row>
    <row r="301">
      <c r="A301" s="43" t="n"/>
      <c r="B301" s="56" t="n"/>
      <c r="C301" s="56" t="n"/>
      <c r="D301" s="43" t="n"/>
      <c r="P301">
        <f>IF(B301="","",B301)</f>
        <v/>
      </c>
      <c r="Q301">
        <f>IF(C301="","",C301)</f>
        <v/>
      </c>
      <c r="R301">
        <f>IF(B301="","",SUMIF($B$6:$B$305,B301,$D$6:$D$305))</f>
        <v/>
      </c>
      <c r="S301">
        <f>IF(OR(B301="",COUNTIF($B$6:$B301,B301)&gt;1),"",SUMPRODUCT((COUNTIF($B$5:B301,$B$6:$B$305)=1)*($R$6:$R$305&gt;R301)*($B$6:$B$305&lt;&gt;""))+1)</f>
        <v/>
      </c>
    </row>
    <row r="302">
      <c r="A302" s="43" t="n"/>
      <c r="B302" s="56" t="n"/>
      <c r="C302" s="56" t="n"/>
      <c r="D302" s="43" t="n"/>
      <c r="P302">
        <f>IF(B302="","",B302)</f>
        <v/>
      </c>
      <c r="Q302">
        <f>IF(C302="","",C302)</f>
        <v/>
      </c>
      <c r="R302">
        <f>IF(B302="","",SUMIF($B$6:$B$305,B302,$D$6:$D$305))</f>
        <v/>
      </c>
      <c r="S302">
        <f>IF(OR(B302="",COUNTIF($B$6:$B302,B302)&gt;1),"",SUMPRODUCT((COUNTIF($B$5:B302,$B$6:$B$305)=1)*($R$6:$R$305&gt;R302)*($B$6:$B$305&lt;&gt;""))+1)</f>
        <v/>
      </c>
    </row>
    <row r="303">
      <c r="A303" s="43" t="n"/>
      <c r="B303" s="56" t="n"/>
      <c r="C303" s="56" t="n"/>
      <c r="D303" s="43" t="n"/>
      <c r="P303">
        <f>IF(B303="","",B303)</f>
        <v/>
      </c>
      <c r="Q303">
        <f>IF(C303="","",C303)</f>
        <v/>
      </c>
      <c r="R303">
        <f>IF(B303="","",SUMIF($B$6:$B$305,B303,$D$6:$D$305))</f>
        <v/>
      </c>
      <c r="S303">
        <f>IF(OR(B303="",COUNTIF($B$6:$B303,B303)&gt;1),"",SUMPRODUCT((COUNTIF($B$5:B303,$B$6:$B$305)=1)*($R$6:$R$305&gt;R303)*($B$6:$B$305&lt;&gt;""))+1)</f>
        <v/>
      </c>
    </row>
    <row r="304">
      <c r="A304" s="43" t="n"/>
      <c r="B304" s="56" t="n"/>
      <c r="C304" s="56" t="n"/>
      <c r="D304" s="43" t="n"/>
      <c r="P304">
        <f>IF(B304="","",B304)</f>
        <v/>
      </c>
      <c r="Q304">
        <f>IF(C304="","",C304)</f>
        <v/>
      </c>
      <c r="R304">
        <f>IF(B304="","",SUMIF($B$6:$B$305,B304,$D$6:$D$305))</f>
        <v/>
      </c>
      <c r="S304">
        <f>IF(OR(B304="",COUNTIF($B$6:$B304,B304)&gt;1),"",SUMPRODUCT((COUNTIF($B$5:B304,$B$6:$B$305)=1)*($R$6:$R$305&gt;R304)*($B$6:$B$305&lt;&gt;""))+1)</f>
        <v/>
      </c>
    </row>
    <row r="305">
      <c r="A305" s="43" t="n"/>
      <c r="B305" s="56" t="n"/>
      <c r="C305" s="56" t="n"/>
      <c r="D305" s="43" t="n"/>
      <c r="P305">
        <f>IF(B305="","",B305)</f>
        <v/>
      </c>
      <c r="Q305">
        <f>IF(C305="","",C305)</f>
        <v/>
      </c>
      <c r="R305">
        <f>IF(B305="","",SUMIF($B$6:$B$305,B305,$D$6:$D$305))</f>
        <v/>
      </c>
      <c r="S305">
        <f>IF(OR(B305="",COUNTIF($B$6:$B305,B305)&gt;1),"",SUMPRODUCT((COUNTIF($B$5:B305,$B$6:$B$305)=1)*($R$6:$R$305&gt;R305)*($B$6:$B$305&lt;&gt;""))+1)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>
      <c r="A1" s="1" t="inlineStr">
        <is>
          <t>WEEKLY QUIZ LEADERBOARD</t>
        </is>
      </c>
    </row>
    <row r="2">
      <c r="A2" s="16" t="inlineStr">
        <is>
          <t>Enter each week's scores below. Cumulative totals update automatically.</t>
        </is>
      </c>
    </row>
    <row r="4">
      <c r="A4" s="3" t="inlineStr">
        <is>
          <t>Rank</t>
        </is>
      </c>
      <c r="B4" s="3" t="inlineStr">
        <is>
          <t>Participant</t>
        </is>
      </c>
      <c r="C4" s="3" t="inlineStr">
        <is>
          <t>Wk 1</t>
        </is>
      </c>
      <c r="D4" s="3" t="inlineStr">
        <is>
          <t>Wk 2</t>
        </is>
      </c>
      <c r="E4" s="3" t="inlineStr">
        <is>
          <t>Wk 3</t>
        </is>
      </c>
      <c r="F4" s="3" t="inlineStr">
        <is>
          <t>Wk 4</t>
        </is>
      </c>
      <c r="G4" s="3" t="inlineStr">
        <is>
          <t>Wk 5</t>
        </is>
      </c>
      <c r="H4" s="3" t="inlineStr">
        <is>
          <t>Wk 6</t>
        </is>
      </c>
      <c r="I4" s="3" t="inlineStr">
        <is>
          <t>Wk 7</t>
        </is>
      </c>
      <c r="J4" s="3" t="inlineStr">
        <is>
          <t>Wk 8</t>
        </is>
      </c>
      <c r="K4" s="3" t="inlineStr">
        <is>
          <t>Wk 9</t>
        </is>
      </c>
      <c r="L4" s="3" t="inlineStr">
        <is>
          <t>Wk 10</t>
        </is>
      </c>
      <c r="M4" s="3" t="inlineStr">
        <is>
          <t>Total</t>
        </is>
      </c>
    </row>
    <row r="5">
      <c r="A5" s="46">
        <f>IF(B5="","",COUNTIFS($M$5:$M$104,"&gt;"&amp;M5,$B$5:$B$104,"&lt;&gt;")+COUNTIFS($M$5:$M5,M5,$B$5:$B5,"&lt;&gt;"))</f>
        <v/>
      </c>
      <c r="B5" s="47">
        <f>IF(Participants!B5="","",Participants!B5)</f>
        <v/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>
        <f>IF(B5="","",SUM(C5:L5))</f>
        <v/>
      </c>
    </row>
    <row r="6">
      <c r="A6" s="48">
        <f>IF(B6="","",COUNTIFS($M$5:$M$104,"&gt;"&amp;M6,$B$5:$B$104,"&lt;&gt;")+COUNTIFS($M$5:$M6,M6,$B$5:$B6,"&lt;&gt;"))</f>
        <v/>
      </c>
      <c r="B6" s="49">
        <f>IF(Participants!B6="","",Participants!B6)</f>
        <v/>
      </c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>
        <f>IF(B6="","",SUM(C6:L6))</f>
        <v/>
      </c>
    </row>
    <row r="7">
      <c r="A7" s="50">
        <f>IF(B7="","",COUNTIFS($M$5:$M$104,"&gt;"&amp;M7,$B$5:$B$104,"&lt;&gt;")+COUNTIFS($M$5:$M7,M7,$B$5:$B7,"&lt;&gt;"))</f>
        <v/>
      </c>
      <c r="B7" s="51">
        <f>IF(Participants!B7="","",Participants!B7)</f>
        <v/>
      </c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>
        <f>IF(B7="","",SUM(C7:L7))</f>
        <v/>
      </c>
    </row>
    <row r="8">
      <c r="A8" s="43">
        <f>IF(B8="","",COUNTIFS($M$5:$M$104,"&gt;"&amp;M8,$B$5:$B$104,"&lt;&gt;")+COUNTIFS($M$5:$M8,M8,$B$5:$B8,"&lt;&gt;"))</f>
        <v/>
      </c>
      <c r="B8" s="44">
        <f>IF(Participants!B8="","",Participants!B8)</f>
        <v/>
      </c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>
        <f>IF(B8="","",SUM(C8:L8))</f>
        <v/>
      </c>
    </row>
    <row r="9">
      <c r="A9" s="43">
        <f>IF(B9="","",COUNTIFS($M$5:$M$104,"&gt;"&amp;M9,$B$5:$B$104,"&lt;&gt;")+COUNTIFS($M$5:$M9,M9,$B$5:$B9,"&lt;&gt;"))</f>
        <v/>
      </c>
      <c r="B9" s="44">
        <f>IF(Participants!B9="","",Participants!B9)</f>
        <v/>
      </c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>
        <f>IF(B9="","",SUM(C9:L9))</f>
        <v/>
      </c>
    </row>
    <row r="10">
      <c r="A10" s="43">
        <f>IF(B10="","",COUNTIFS($M$5:$M$104,"&gt;"&amp;M10,$B$5:$B$104,"&lt;&gt;")+COUNTIFS($M$5:$M10,M10,$B$5:$B10,"&lt;&gt;"))</f>
        <v/>
      </c>
      <c r="B10" s="44">
        <f>IF(Participants!B10="","",Participants!B10)</f>
        <v/>
      </c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>
        <f>IF(B10="","",SUM(C10:L10))</f>
        <v/>
      </c>
    </row>
    <row r="11">
      <c r="A11" s="43">
        <f>IF(B11="","",COUNTIFS($M$5:$M$104,"&gt;"&amp;M11,$B$5:$B$104,"&lt;&gt;")+COUNTIFS($M$5:$M11,M11,$B$5:$B11,"&lt;&gt;"))</f>
        <v/>
      </c>
      <c r="B11" s="44">
        <f>IF(Participants!B11="","",Participants!B11)</f>
        <v/>
      </c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>
        <f>IF(B11="","",SUM(C11:L11))</f>
        <v/>
      </c>
    </row>
    <row r="12">
      <c r="A12" s="43">
        <f>IF(B12="","",COUNTIFS($M$5:$M$104,"&gt;"&amp;M12,$B$5:$B$104,"&lt;&gt;")+COUNTIFS($M$5:$M12,M12,$B$5:$B12,"&lt;&gt;"))</f>
        <v/>
      </c>
      <c r="B12" s="44">
        <f>IF(Participants!B12="","",Participants!B12)</f>
        <v/>
      </c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>
        <f>IF(B12="","",SUM(C12:L12))</f>
        <v/>
      </c>
    </row>
    <row r="13">
      <c r="A13" s="43">
        <f>IF(B13="","",COUNTIFS($M$5:$M$104,"&gt;"&amp;M13,$B$5:$B$104,"&lt;&gt;")+COUNTIFS($M$5:$M13,M13,$B$5:$B13,"&lt;&gt;"))</f>
        <v/>
      </c>
      <c r="B13" s="44">
        <f>IF(Participants!B13="","",Participants!B13)</f>
        <v/>
      </c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>
        <f>IF(B13="","",SUM(C13:L13))</f>
        <v/>
      </c>
    </row>
    <row r="14">
      <c r="A14" s="43">
        <f>IF(B14="","",COUNTIFS($M$5:$M$104,"&gt;"&amp;M14,$B$5:$B$104,"&lt;&gt;")+COUNTIFS($M$5:$M14,M14,$B$5:$B14,"&lt;&gt;"))</f>
        <v/>
      </c>
      <c r="B14" s="44">
        <f>IF(Participants!B14="","",Participants!B14)</f>
        <v/>
      </c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>
        <f>IF(B14="","",SUM(C14:L14))</f>
        <v/>
      </c>
    </row>
    <row r="15">
      <c r="A15" s="43">
        <f>IF(B15="","",COUNTIFS($M$5:$M$104,"&gt;"&amp;M15,$B$5:$B$104,"&lt;&gt;")+COUNTIFS($M$5:$M15,M15,$B$5:$B15,"&lt;&gt;"))</f>
        <v/>
      </c>
      <c r="B15" s="44">
        <f>IF(Participants!B15="","",Participants!B15)</f>
        <v/>
      </c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>
        <f>IF(B15="","",SUM(C15:L15))</f>
        <v/>
      </c>
    </row>
    <row r="16">
      <c r="A16" s="43">
        <f>IF(B16="","",COUNTIFS($M$5:$M$104,"&gt;"&amp;M16,$B$5:$B$104,"&lt;&gt;")+COUNTIFS($M$5:$M16,M16,$B$5:$B16,"&lt;&gt;"))</f>
        <v/>
      </c>
      <c r="B16" s="44">
        <f>IF(Participants!B16="","",Participants!B16)</f>
        <v/>
      </c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>
        <f>IF(B16="","",SUM(C16:L16))</f>
        <v/>
      </c>
    </row>
    <row r="17">
      <c r="A17" s="43">
        <f>IF(B17="","",COUNTIFS($M$5:$M$104,"&gt;"&amp;M17,$B$5:$B$104,"&lt;&gt;")+COUNTIFS($M$5:$M17,M17,$B$5:$B17,"&lt;&gt;"))</f>
        <v/>
      </c>
      <c r="B17" s="44">
        <f>IF(Participants!B17="","",Participants!B17)</f>
        <v/>
      </c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>
        <f>IF(B17="","",SUM(C17:L17))</f>
        <v/>
      </c>
    </row>
    <row r="18">
      <c r="A18" s="43">
        <f>IF(B18="","",COUNTIFS($M$5:$M$104,"&gt;"&amp;M18,$B$5:$B$104,"&lt;&gt;")+COUNTIFS($M$5:$M18,M18,$B$5:$B18,"&lt;&gt;"))</f>
        <v/>
      </c>
      <c r="B18" s="44">
        <f>IF(Participants!B18="","",Participants!B18)</f>
        <v/>
      </c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>
        <f>IF(B18="","",SUM(C18:L18))</f>
        <v/>
      </c>
    </row>
    <row r="19">
      <c r="A19" s="43">
        <f>IF(B19="","",COUNTIFS($M$5:$M$104,"&gt;"&amp;M19,$B$5:$B$104,"&lt;&gt;")+COUNTIFS($M$5:$M19,M19,$B$5:$B19,"&lt;&gt;"))</f>
        <v/>
      </c>
      <c r="B19" s="44">
        <f>IF(Participants!B19="","",Participants!B19)</f>
        <v/>
      </c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>
        <f>IF(B19="","",SUM(C19:L19))</f>
        <v/>
      </c>
    </row>
    <row r="20">
      <c r="A20" s="43">
        <f>IF(B20="","",COUNTIFS($M$5:$M$104,"&gt;"&amp;M20,$B$5:$B$104,"&lt;&gt;")+COUNTIFS($M$5:$M20,M20,$B$5:$B20,"&lt;&gt;"))</f>
        <v/>
      </c>
      <c r="B20" s="44">
        <f>IF(Participants!B20="","",Participants!B20)</f>
        <v/>
      </c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>
        <f>IF(B20="","",SUM(C20:L20))</f>
        <v/>
      </c>
    </row>
    <row r="21">
      <c r="A21" s="43">
        <f>IF(B21="","",COUNTIFS($M$5:$M$104,"&gt;"&amp;M21,$B$5:$B$104,"&lt;&gt;")+COUNTIFS($M$5:$M21,M21,$B$5:$B21,"&lt;&gt;"))</f>
        <v/>
      </c>
      <c r="B21" s="44">
        <f>IF(Participants!B21="","",Participants!B21)</f>
        <v/>
      </c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>
        <f>IF(B21="","",SUM(C21:L21))</f>
        <v/>
      </c>
    </row>
    <row r="22">
      <c r="A22" s="43">
        <f>IF(B22="","",COUNTIFS($M$5:$M$104,"&gt;"&amp;M22,$B$5:$B$104,"&lt;&gt;")+COUNTIFS($M$5:$M22,M22,$B$5:$B22,"&lt;&gt;"))</f>
        <v/>
      </c>
      <c r="B22" s="44">
        <f>IF(Participants!B22="","",Participants!B22)</f>
        <v/>
      </c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>
        <f>IF(B22="","",SUM(C22:L22))</f>
        <v/>
      </c>
    </row>
    <row r="23">
      <c r="A23" s="43">
        <f>IF(B23="","",COUNTIFS($M$5:$M$104,"&gt;"&amp;M23,$B$5:$B$104,"&lt;&gt;")+COUNTIFS($M$5:$M23,M23,$B$5:$B23,"&lt;&gt;"))</f>
        <v/>
      </c>
      <c r="B23" s="44">
        <f>IF(Participants!B23="","",Participants!B23)</f>
        <v/>
      </c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>
        <f>IF(B23="","",SUM(C23:L23))</f>
        <v/>
      </c>
    </row>
    <row r="24">
      <c r="A24" s="43">
        <f>IF(B24="","",COUNTIFS($M$5:$M$104,"&gt;"&amp;M24,$B$5:$B$104,"&lt;&gt;")+COUNTIFS($M$5:$M24,M24,$B$5:$B24,"&lt;&gt;"))</f>
        <v/>
      </c>
      <c r="B24" s="44">
        <f>IF(Participants!B24="","",Participants!B24)</f>
        <v/>
      </c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>
        <f>IF(B24="","",SUM(C24:L24))</f>
        <v/>
      </c>
    </row>
    <row r="25">
      <c r="A25" s="43">
        <f>IF(B25="","",COUNTIFS($M$5:$M$104,"&gt;"&amp;M25,$B$5:$B$104,"&lt;&gt;")+COUNTIFS($M$5:$M25,M25,$B$5:$B25,"&lt;&gt;"))</f>
        <v/>
      </c>
      <c r="B25" s="44">
        <f>IF(Participants!B25="","",Participants!B25)</f>
        <v/>
      </c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>
        <f>IF(B25="","",SUM(C25:L25))</f>
        <v/>
      </c>
    </row>
    <row r="26">
      <c r="A26" s="43">
        <f>IF(B26="","",COUNTIFS($M$5:$M$104,"&gt;"&amp;M26,$B$5:$B$104,"&lt;&gt;")+COUNTIFS($M$5:$M26,M26,$B$5:$B26,"&lt;&gt;"))</f>
        <v/>
      </c>
      <c r="B26" s="44">
        <f>IF(Participants!B26="","",Participants!B26)</f>
        <v/>
      </c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>
        <f>IF(B26="","",SUM(C26:L26))</f>
        <v/>
      </c>
    </row>
    <row r="27">
      <c r="A27" s="43">
        <f>IF(B27="","",COUNTIFS($M$5:$M$104,"&gt;"&amp;M27,$B$5:$B$104,"&lt;&gt;")+COUNTIFS($M$5:$M27,M27,$B$5:$B27,"&lt;&gt;"))</f>
        <v/>
      </c>
      <c r="B27" s="44">
        <f>IF(Participants!B27="","",Participants!B27)</f>
        <v/>
      </c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>
        <f>IF(B27="","",SUM(C27:L27))</f>
        <v/>
      </c>
    </row>
    <row r="28">
      <c r="A28" s="43">
        <f>IF(B28="","",COUNTIFS($M$5:$M$104,"&gt;"&amp;M28,$B$5:$B$104,"&lt;&gt;")+COUNTIFS($M$5:$M28,M28,$B$5:$B28,"&lt;&gt;"))</f>
        <v/>
      </c>
      <c r="B28" s="44">
        <f>IF(Participants!B28="","",Participants!B28)</f>
        <v/>
      </c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>
        <f>IF(B28="","",SUM(C28:L28))</f>
        <v/>
      </c>
    </row>
    <row r="29">
      <c r="A29" s="43">
        <f>IF(B29="","",COUNTIFS($M$5:$M$104,"&gt;"&amp;M29,$B$5:$B$104,"&lt;&gt;")+COUNTIFS($M$5:$M29,M29,$B$5:$B29,"&lt;&gt;"))</f>
        <v/>
      </c>
      <c r="B29" s="44">
        <f>IF(Participants!B29="","",Participants!B29)</f>
        <v/>
      </c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>
        <f>IF(B29="","",SUM(C29:L29))</f>
        <v/>
      </c>
    </row>
    <row r="30">
      <c r="A30" s="43">
        <f>IF(B30="","",COUNTIFS($M$5:$M$104,"&gt;"&amp;M30,$B$5:$B$104,"&lt;&gt;")+COUNTIFS($M$5:$M30,M30,$B$5:$B30,"&lt;&gt;"))</f>
        <v/>
      </c>
      <c r="B30" s="44">
        <f>IF(Participants!B30="","",Participants!B30)</f>
        <v/>
      </c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>
        <f>IF(B30="","",SUM(C30:L30))</f>
        <v/>
      </c>
    </row>
    <row r="31">
      <c r="A31" s="43">
        <f>IF(B31="","",COUNTIFS($M$5:$M$104,"&gt;"&amp;M31,$B$5:$B$104,"&lt;&gt;")+COUNTIFS($M$5:$M31,M31,$B$5:$B31,"&lt;&gt;"))</f>
        <v/>
      </c>
      <c r="B31" s="44">
        <f>IF(Participants!B31="","",Participants!B31)</f>
        <v/>
      </c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>
        <f>IF(B31="","",SUM(C31:L31))</f>
        <v/>
      </c>
    </row>
    <row r="32">
      <c r="A32" s="43">
        <f>IF(B32="","",COUNTIFS($M$5:$M$104,"&gt;"&amp;M32,$B$5:$B$104,"&lt;&gt;")+COUNTIFS($M$5:$M32,M32,$B$5:$B32,"&lt;&gt;"))</f>
        <v/>
      </c>
      <c r="B32" s="44">
        <f>IF(Participants!B32="","",Participants!B32)</f>
        <v/>
      </c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>
        <f>IF(B32="","",SUM(C32:L32))</f>
        <v/>
      </c>
    </row>
    <row r="33">
      <c r="A33" s="43">
        <f>IF(B33="","",COUNTIFS($M$5:$M$104,"&gt;"&amp;M33,$B$5:$B$104,"&lt;&gt;")+COUNTIFS($M$5:$M33,M33,$B$5:$B33,"&lt;&gt;"))</f>
        <v/>
      </c>
      <c r="B33" s="44">
        <f>IF(Participants!B33="","",Participants!B33)</f>
        <v/>
      </c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>
        <f>IF(B33="","",SUM(C33:L33))</f>
        <v/>
      </c>
    </row>
    <row r="34">
      <c r="A34" s="43">
        <f>IF(B34="","",COUNTIFS($M$5:$M$104,"&gt;"&amp;M34,$B$5:$B$104,"&lt;&gt;")+COUNTIFS($M$5:$M34,M34,$B$5:$B34,"&lt;&gt;"))</f>
        <v/>
      </c>
      <c r="B34" s="44">
        <f>IF(Participants!B34="","",Participants!B34)</f>
        <v/>
      </c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>
        <f>IF(B34="","",SUM(C34:L34))</f>
        <v/>
      </c>
    </row>
    <row r="35">
      <c r="A35" s="43">
        <f>IF(B35="","",COUNTIFS($M$5:$M$104,"&gt;"&amp;M35,$B$5:$B$104,"&lt;&gt;")+COUNTIFS($M$5:$M35,M35,$B$5:$B35,"&lt;&gt;"))</f>
        <v/>
      </c>
      <c r="B35" s="44">
        <f>IF(Participants!B35="","",Participants!B35)</f>
        <v/>
      </c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>
        <f>IF(B35="","",SUM(C35:L35))</f>
        <v/>
      </c>
    </row>
    <row r="36">
      <c r="A36" s="43">
        <f>IF(B36="","",COUNTIFS($M$5:$M$104,"&gt;"&amp;M36,$B$5:$B$104,"&lt;&gt;")+COUNTIFS($M$5:$M36,M36,$B$5:$B36,"&lt;&gt;"))</f>
        <v/>
      </c>
      <c r="B36" s="44">
        <f>IF(Participants!B36="","",Participants!B36)</f>
        <v/>
      </c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>
        <f>IF(B36="","",SUM(C36:L36))</f>
        <v/>
      </c>
    </row>
    <row r="37">
      <c r="A37" s="43">
        <f>IF(B37="","",COUNTIFS($M$5:$M$104,"&gt;"&amp;M37,$B$5:$B$104,"&lt;&gt;")+COUNTIFS($M$5:$M37,M37,$B$5:$B37,"&lt;&gt;"))</f>
        <v/>
      </c>
      <c r="B37" s="44">
        <f>IF(Participants!B37="","",Participants!B37)</f>
        <v/>
      </c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>
        <f>IF(B37="","",SUM(C37:L37))</f>
        <v/>
      </c>
    </row>
    <row r="38">
      <c r="A38" s="43">
        <f>IF(B38="","",COUNTIFS($M$5:$M$104,"&gt;"&amp;M38,$B$5:$B$104,"&lt;&gt;")+COUNTIFS($M$5:$M38,M38,$B$5:$B38,"&lt;&gt;"))</f>
        <v/>
      </c>
      <c r="B38" s="44">
        <f>IF(Participants!B38="","",Participants!B38)</f>
        <v/>
      </c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>
        <f>IF(B38="","",SUM(C38:L38))</f>
        <v/>
      </c>
    </row>
    <row r="39">
      <c r="A39" s="43">
        <f>IF(B39="","",COUNTIFS($M$5:$M$104,"&gt;"&amp;M39,$B$5:$B$104,"&lt;&gt;")+COUNTIFS($M$5:$M39,M39,$B$5:$B39,"&lt;&gt;"))</f>
        <v/>
      </c>
      <c r="B39" s="44">
        <f>IF(Participants!B39="","",Participants!B39)</f>
        <v/>
      </c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>
        <f>IF(B39="","",SUM(C39:L39))</f>
        <v/>
      </c>
    </row>
    <row r="40">
      <c r="A40" s="43">
        <f>IF(B40="","",COUNTIFS($M$5:$M$104,"&gt;"&amp;M40,$B$5:$B$104,"&lt;&gt;")+COUNTIFS($M$5:$M40,M40,$B$5:$B40,"&lt;&gt;"))</f>
        <v/>
      </c>
      <c r="B40" s="44">
        <f>IF(Participants!B40="","",Participants!B40)</f>
        <v/>
      </c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>
        <f>IF(B40="","",SUM(C40:L40))</f>
        <v/>
      </c>
    </row>
    <row r="41">
      <c r="A41" s="43">
        <f>IF(B41="","",COUNTIFS($M$5:$M$104,"&gt;"&amp;M41,$B$5:$B$104,"&lt;&gt;")+COUNTIFS($M$5:$M41,M41,$B$5:$B41,"&lt;&gt;"))</f>
        <v/>
      </c>
      <c r="B41" s="44">
        <f>IF(Participants!B41="","",Participants!B41)</f>
        <v/>
      </c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>
        <f>IF(B41="","",SUM(C41:L41))</f>
        <v/>
      </c>
    </row>
    <row r="42">
      <c r="A42" s="43">
        <f>IF(B42="","",COUNTIFS($M$5:$M$104,"&gt;"&amp;M42,$B$5:$B$104,"&lt;&gt;")+COUNTIFS($M$5:$M42,M42,$B$5:$B42,"&lt;&gt;"))</f>
        <v/>
      </c>
      <c r="B42" s="44">
        <f>IF(Participants!B42="","",Participants!B42)</f>
        <v/>
      </c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>
        <f>IF(B42="","",SUM(C42:L42))</f>
        <v/>
      </c>
    </row>
    <row r="43">
      <c r="A43" s="43">
        <f>IF(B43="","",COUNTIFS($M$5:$M$104,"&gt;"&amp;M43,$B$5:$B$104,"&lt;&gt;")+COUNTIFS($M$5:$M43,M43,$B$5:$B43,"&lt;&gt;"))</f>
        <v/>
      </c>
      <c r="B43" s="44">
        <f>IF(Participants!B43="","",Participants!B43)</f>
        <v/>
      </c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>
        <f>IF(B43="","",SUM(C43:L43))</f>
        <v/>
      </c>
    </row>
    <row r="44">
      <c r="A44" s="43">
        <f>IF(B44="","",COUNTIFS($M$5:$M$104,"&gt;"&amp;M44,$B$5:$B$104,"&lt;&gt;")+COUNTIFS($M$5:$M44,M44,$B$5:$B44,"&lt;&gt;"))</f>
        <v/>
      </c>
      <c r="B44" s="44">
        <f>IF(Participants!B44="","",Participants!B44)</f>
        <v/>
      </c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>
        <f>IF(B44="","",SUM(C44:L44))</f>
        <v/>
      </c>
    </row>
    <row r="45">
      <c r="A45" s="43">
        <f>IF(B45="","",COUNTIFS($M$5:$M$104,"&gt;"&amp;M45,$B$5:$B$104,"&lt;&gt;")+COUNTIFS($M$5:$M45,M45,$B$5:$B45,"&lt;&gt;"))</f>
        <v/>
      </c>
      <c r="B45" s="44">
        <f>IF(Participants!B45="","",Participants!B45)</f>
        <v/>
      </c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>
        <f>IF(B45="","",SUM(C45:L45))</f>
        <v/>
      </c>
    </row>
    <row r="46">
      <c r="A46" s="43">
        <f>IF(B46="","",COUNTIFS($M$5:$M$104,"&gt;"&amp;M46,$B$5:$B$104,"&lt;&gt;")+COUNTIFS($M$5:$M46,M46,$B$5:$B46,"&lt;&gt;"))</f>
        <v/>
      </c>
      <c r="B46" s="44">
        <f>IF(Participants!B46="","",Participants!B46)</f>
        <v/>
      </c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>
        <f>IF(B46="","",SUM(C46:L46))</f>
        <v/>
      </c>
    </row>
    <row r="47">
      <c r="A47" s="43">
        <f>IF(B47="","",COUNTIFS($M$5:$M$104,"&gt;"&amp;M47,$B$5:$B$104,"&lt;&gt;")+COUNTIFS($M$5:$M47,M47,$B$5:$B47,"&lt;&gt;"))</f>
        <v/>
      </c>
      <c r="B47" s="44">
        <f>IF(Participants!B47="","",Participants!B47)</f>
        <v/>
      </c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>
        <f>IF(B47="","",SUM(C47:L47))</f>
        <v/>
      </c>
    </row>
    <row r="48">
      <c r="A48" s="43">
        <f>IF(B48="","",COUNTIFS($M$5:$M$104,"&gt;"&amp;M48,$B$5:$B$104,"&lt;&gt;")+COUNTIFS($M$5:$M48,M48,$B$5:$B48,"&lt;&gt;"))</f>
        <v/>
      </c>
      <c r="B48" s="44">
        <f>IF(Participants!B48="","",Participants!B48)</f>
        <v/>
      </c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>
        <f>IF(B48="","",SUM(C48:L48))</f>
        <v/>
      </c>
    </row>
    <row r="49">
      <c r="A49" s="43">
        <f>IF(B49="","",COUNTIFS($M$5:$M$104,"&gt;"&amp;M49,$B$5:$B$104,"&lt;&gt;")+COUNTIFS($M$5:$M49,M49,$B$5:$B49,"&lt;&gt;"))</f>
        <v/>
      </c>
      <c r="B49" s="44">
        <f>IF(Participants!B49="","",Participants!B49)</f>
        <v/>
      </c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>
        <f>IF(B49="","",SUM(C49:L49))</f>
        <v/>
      </c>
    </row>
    <row r="50">
      <c r="A50" s="43">
        <f>IF(B50="","",COUNTIFS($M$5:$M$104,"&gt;"&amp;M50,$B$5:$B$104,"&lt;&gt;")+COUNTIFS($M$5:$M50,M50,$B$5:$B50,"&lt;&gt;"))</f>
        <v/>
      </c>
      <c r="B50" s="44">
        <f>IF(Participants!B50="","",Participants!B50)</f>
        <v/>
      </c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>
        <f>IF(B50="","",SUM(C50:L50))</f>
        <v/>
      </c>
    </row>
    <row r="51">
      <c r="A51" s="43">
        <f>IF(B51="","",COUNTIFS($M$5:$M$104,"&gt;"&amp;M51,$B$5:$B$104,"&lt;&gt;")+COUNTIFS($M$5:$M51,M51,$B$5:$B51,"&lt;&gt;"))</f>
        <v/>
      </c>
      <c r="B51" s="44">
        <f>IF(Participants!B51="","",Participants!B51)</f>
        <v/>
      </c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>
        <f>IF(B51="","",SUM(C51:L51))</f>
        <v/>
      </c>
    </row>
    <row r="52">
      <c r="A52" s="43">
        <f>IF(B52="","",COUNTIFS($M$5:$M$104,"&gt;"&amp;M52,$B$5:$B$104,"&lt;&gt;")+COUNTIFS($M$5:$M52,M52,$B$5:$B52,"&lt;&gt;"))</f>
        <v/>
      </c>
      <c r="B52" s="44">
        <f>IF(Participants!B52="","",Participants!B52)</f>
        <v/>
      </c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>
        <f>IF(B52="","",SUM(C52:L52))</f>
        <v/>
      </c>
    </row>
    <row r="53">
      <c r="A53" s="43">
        <f>IF(B53="","",COUNTIFS($M$5:$M$104,"&gt;"&amp;M53,$B$5:$B$104,"&lt;&gt;")+COUNTIFS($M$5:$M53,M53,$B$5:$B53,"&lt;&gt;"))</f>
        <v/>
      </c>
      <c r="B53" s="44">
        <f>IF(Participants!B53="","",Participants!B53)</f>
        <v/>
      </c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>
        <f>IF(B53="","",SUM(C53:L53))</f>
        <v/>
      </c>
    </row>
    <row r="54">
      <c r="A54" s="43">
        <f>IF(B54="","",COUNTIFS($M$5:$M$104,"&gt;"&amp;M54,$B$5:$B$104,"&lt;&gt;")+COUNTIFS($M$5:$M54,M54,$B$5:$B54,"&lt;&gt;"))</f>
        <v/>
      </c>
      <c r="B54" s="44">
        <f>IF(Participants!B54="","",Participants!B54)</f>
        <v/>
      </c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>
        <f>IF(B54="","",SUM(C54:L54))</f>
        <v/>
      </c>
    </row>
    <row r="55">
      <c r="A55" s="43">
        <f>IF(B55="","",COUNTIFS($M$5:$M$104,"&gt;"&amp;M55,$B$5:$B$104,"&lt;&gt;")+COUNTIFS($M$5:$M55,M55,$B$5:$B55,"&lt;&gt;"))</f>
        <v/>
      </c>
      <c r="B55" s="44">
        <f>IF(Participants!B55="","",Participants!B55)</f>
        <v/>
      </c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>
        <f>IF(B55="","",SUM(C55:L55))</f>
        <v/>
      </c>
    </row>
    <row r="56">
      <c r="A56" s="43">
        <f>IF(B56="","",COUNTIFS($M$5:$M$104,"&gt;"&amp;M56,$B$5:$B$104,"&lt;&gt;")+COUNTIFS($M$5:$M56,M56,$B$5:$B56,"&lt;&gt;"))</f>
        <v/>
      </c>
      <c r="B56" s="44">
        <f>IF(Participants!B56="","",Participants!B56)</f>
        <v/>
      </c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>
        <f>IF(B56="","",SUM(C56:L56))</f>
        <v/>
      </c>
    </row>
    <row r="57">
      <c r="A57" s="43">
        <f>IF(B57="","",COUNTIFS($M$5:$M$104,"&gt;"&amp;M57,$B$5:$B$104,"&lt;&gt;")+COUNTIFS($M$5:$M57,M57,$B$5:$B57,"&lt;&gt;"))</f>
        <v/>
      </c>
      <c r="B57" s="44">
        <f>IF(Participants!B57="","",Participants!B57)</f>
        <v/>
      </c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>
        <f>IF(B57="","",SUM(C57:L57))</f>
        <v/>
      </c>
    </row>
    <row r="58">
      <c r="A58" s="43">
        <f>IF(B58="","",COUNTIFS($M$5:$M$104,"&gt;"&amp;M58,$B$5:$B$104,"&lt;&gt;")+COUNTIFS($M$5:$M58,M58,$B$5:$B58,"&lt;&gt;"))</f>
        <v/>
      </c>
      <c r="B58" s="44">
        <f>IF(Participants!B58="","",Participants!B58)</f>
        <v/>
      </c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>
        <f>IF(B58="","",SUM(C58:L58))</f>
        <v/>
      </c>
    </row>
    <row r="59">
      <c r="A59" s="43">
        <f>IF(B59="","",COUNTIFS($M$5:$M$104,"&gt;"&amp;M59,$B$5:$B$104,"&lt;&gt;")+COUNTIFS($M$5:$M59,M59,$B$5:$B59,"&lt;&gt;"))</f>
        <v/>
      </c>
      <c r="B59" s="44">
        <f>IF(Participants!B59="","",Participants!B59)</f>
        <v/>
      </c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>
        <f>IF(B59="","",SUM(C59:L59))</f>
        <v/>
      </c>
    </row>
    <row r="60">
      <c r="A60" s="43">
        <f>IF(B60="","",COUNTIFS($M$5:$M$104,"&gt;"&amp;M60,$B$5:$B$104,"&lt;&gt;")+COUNTIFS($M$5:$M60,M60,$B$5:$B60,"&lt;&gt;"))</f>
        <v/>
      </c>
      <c r="B60" s="44">
        <f>IF(Participants!B60="","",Participants!B60)</f>
        <v/>
      </c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>
        <f>IF(B60="","",SUM(C60:L60))</f>
        <v/>
      </c>
    </row>
    <row r="61">
      <c r="A61" s="43">
        <f>IF(B61="","",COUNTIFS($M$5:$M$104,"&gt;"&amp;M61,$B$5:$B$104,"&lt;&gt;")+COUNTIFS($M$5:$M61,M61,$B$5:$B61,"&lt;&gt;"))</f>
        <v/>
      </c>
      <c r="B61" s="44">
        <f>IF(Participants!B61="","",Participants!B61)</f>
        <v/>
      </c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>
        <f>IF(B61="","",SUM(C61:L61))</f>
        <v/>
      </c>
    </row>
    <row r="62">
      <c r="A62" s="43">
        <f>IF(B62="","",COUNTIFS($M$5:$M$104,"&gt;"&amp;M62,$B$5:$B$104,"&lt;&gt;")+COUNTIFS($M$5:$M62,M62,$B$5:$B62,"&lt;&gt;"))</f>
        <v/>
      </c>
      <c r="B62" s="44">
        <f>IF(Participants!B62="","",Participants!B62)</f>
        <v/>
      </c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>
        <f>IF(B62="","",SUM(C62:L62))</f>
        <v/>
      </c>
    </row>
    <row r="63">
      <c r="A63" s="43">
        <f>IF(B63="","",COUNTIFS($M$5:$M$104,"&gt;"&amp;M63,$B$5:$B$104,"&lt;&gt;")+COUNTIFS($M$5:$M63,M63,$B$5:$B63,"&lt;&gt;"))</f>
        <v/>
      </c>
      <c r="B63" s="44">
        <f>IF(Participants!B63="","",Participants!B63)</f>
        <v/>
      </c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>
        <f>IF(B63="","",SUM(C63:L63))</f>
        <v/>
      </c>
    </row>
    <row r="64">
      <c r="A64" s="43">
        <f>IF(B64="","",COUNTIFS($M$5:$M$104,"&gt;"&amp;M64,$B$5:$B$104,"&lt;&gt;")+COUNTIFS($M$5:$M64,M64,$B$5:$B64,"&lt;&gt;"))</f>
        <v/>
      </c>
      <c r="B64" s="44">
        <f>IF(Participants!B64="","",Participants!B64)</f>
        <v/>
      </c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>
        <f>IF(B64="","",SUM(C64:L64))</f>
        <v/>
      </c>
    </row>
    <row r="65">
      <c r="A65" s="43">
        <f>IF(B65="","",COUNTIFS($M$5:$M$104,"&gt;"&amp;M65,$B$5:$B$104,"&lt;&gt;")+COUNTIFS($M$5:$M65,M65,$B$5:$B65,"&lt;&gt;"))</f>
        <v/>
      </c>
      <c r="B65" s="44">
        <f>IF(Participants!B65="","",Participants!B65)</f>
        <v/>
      </c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>
        <f>IF(B65="","",SUM(C65:L65))</f>
        <v/>
      </c>
    </row>
    <row r="66">
      <c r="A66" s="43">
        <f>IF(B66="","",COUNTIFS($M$5:$M$104,"&gt;"&amp;M66,$B$5:$B$104,"&lt;&gt;")+COUNTIFS($M$5:$M66,M66,$B$5:$B66,"&lt;&gt;"))</f>
        <v/>
      </c>
      <c r="B66" s="44">
        <f>IF(Participants!B66="","",Participants!B66)</f>
        <v/>
      </c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>
        <f>IF(B66="","",SUM(C66:L66))</f>
        <v/>
      </c>
    </row>
    <row r="67">
      <c r="A67" s="43">
        <f>IF(B67="","",COUNTIFS($M$5:$M$104,"&gt;"&amp;M67,$B$5:$B$104,"&lt;&gt;")+COUNTIFS($M$5:$M67,M67,$B$5:$B67,"&lt;&gt;"))</f>
        <v/>
      </c>
      <c r="B67" s="44">
        <f>IF(Participants!B67="","",Participants!B67)</f>
        <v/>
      </c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>
        <f>IF(B67="","",SUM(C67:L67))</f>
        <v/>
      </c>
    </row>
    <row r="68">
      <c r="A68" s="43">
        <f>IF(B68="","",COUNTIFS($M$5:$M$104,"&gt;"&amp;M68,$B$5:$B$104,"&lt;&gt;")+COUNTIFS($M$5:$M68,M68,$B$5:$B68,"&lt;&gt;"))</f>
        <v/>
      </c>
      <c r="B68" s="44">
        <f>IF(Participants!B68="","",Participants!B68)</f>
        <v/>
      </c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>
        <f>IF(B68="","",SUM(C68:L68))</f>
        <v/>
      </c>
    </row>
    <row r="69">
      <c r="A69" s="43">
        <f>IF(B69="","",COUNTIFS($M$5:$M$104,"&gt;"&amp;M69,$B$5:$B$104,"&lt;&gt;")+COUNTIFS($M$5:$M69,M69,$B$5:$B69,"&lt;&gt;"))</f>
        <v/>
      </c>
      <c r="B69" s="44">
        <f>IF(Participants!B69="","",Participants!B69)</f>
        <v/>
      </c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>
        <f>IF(B69="","",SUM(C69:L69))</f>
        <v/>
      </c>
    </row>
    <row r="70">
      <c r="A70" s="43">
        <f>IF(B70="","",COUNTIFS($M$5:$M$104,"&gt;"&amp;M70,$B$5:$B$104,"&lt;&gt;")+COUNTIFS($M$5:$M70,M70,$B$5:$B70,"&lt;&gt;"))</f>
        <v/>
      </c>
      <c r="B70" s="44">
        <f>IF(Participants!B70="","",Participants!B70)</f>
        <v/>
      </c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>
        <f>IF(B70="","",SUM(C70:L70))</f>
        <v/>
      </c>
    </row>
    <row r="71">
      <c r="A71" s="43">
        <f>IF(B71="","",COUNTIFS($M$5:$M$104,"&gt;"&amp;M71,$B$5:$B$104,"&lt;&gt;")+COUNTIFS($M$5:$M71,M71,$B$5:$B71,"&lt;&gt;"))</f>
        <v/>
      </c>
      <c r="B71" s="44">
        <f>IF(Participants!B71="","",Participants!B71)</f>
        <v/>
      </c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>
        <f>IF(B71="","",SUM(C71:L71))</f>
        <v/>
      </c>
    </row>
    <row r="72">
      <c r="A72" s="43">
        <f>IF(B72="","",COUNTIFS($M$5:$M$104,"&gt;"&amp;M72,$B$5:$B$104,"&lt;&gt;")+COUNTIFS($M$5:$M72,M72,$B$5:$B72,"&lt;&gt;"))</f>
        <v/>
      </c>
      <c r="B72" s="44">
        <f>IF(Participants!B72="","",Participants!B72)</f>
        <v/>
      </c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>
        <f>IF(B72="","",SUM(C72:L72))</f>
        <v/>
      </c>
    </row>
    <row r="73">
      <c r="A73" s="43">
        <f>IF(B73="","",COUNTIFS($M$5:$M$104,"&gt;"&amp;M73,$B$5:$B$104,"&lt;&gt;")+COUNTIFS($M$5:$M73,M73,$B$5:$B73,"&lt;&gt;"))</f>
        <v/>
      </c>
      <c r="B73" s="44">
        <f>IF(Participants!B73="","",Participants!B73)</f>
        <v/>
      </c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>
        <f>IF(B73="","",SUM(C73:L73))</f>
        <v/>
      </c>
    </row>
    <row r="74">
      <c r="A74" s="43">
        <f>IF(B74="","",COUNTIFS($M$5:$M$104,"&gt;"&amp;M74,$B$5:$B$104,"&lt;&gt;")+COUNTIFS($M$5:$M74,M74,$B$5:$B74,"&lt;&gt;"))</f>
        <v/>
      </c>
      <c r="B74" s="44">
        <f>IF(Participants!B74="","",Participants!B74)</f>
        <v/>
      </c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>
        <f>IF(B74="","",SUM(C74:L74))</f>
        <v/>
      </c>
    </row>
    <row r="75">
      <c r="A75" s="43">
        <f>IF(B75="","",COUNTIFS($M$5:$M$104,"&gt;"&amp;M75,$B$5:$B$104,"&lt;&gt;")+COUNTIFS($M$5:$M75,M75,$B$5:$B75,"&lt;&gt;"))</f>
        <v/>
      </c>
      <c r="B75" s="44">
        <f>IF(Participants!B75="","",Participants!B75)</f>
        <v/>
      </c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>
        <f>IF(B75="","",SUM(C75:L75))</f>
        <v/>
      </c>
    </row>
    <row r="76">
      <c r="A76" s="43">
        <f>IF(B76="","",COUNTIFS($M$5:$M$104,"&gt;"&amp;M76,$B$5:$B$104,"&lt;&gt;")+COUNTIFS($M$5:$M76,M76,$B$5:$B76,"&lt;&gt;"))</f>
        <v/>
      </c>
      <c r="B76" s="44">
        <f>IF(Participants!B76="","",Participants!B76)</f>
        <v/>
      </c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>
        <f>IF(B76="","",SUM(C76:L76))</f>
        <v/>
      </c>
    </row>
    <row r="77">
      <c r="A77" s="43">
        <f>IF(B77="","",COUNTIFS($M$5:$M$104,"&gt;"&amp;M77,$B$5:$B$104,"&lt;&gt;")+COUNTIFS($M$5:$M77,M77,$B$5:$B77,"&lt;&gt;"))</f>
        <v/>
      </c>
      <c r="B77" s="44">
        <f>IF(Participants!B77="","",Participants!B77)</f>
        <v/>
      </c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>
        <f>IF(B77="","",SUM(C77:L77))</f>
        <v/>
      </c>
    </row>
    <row r="78">
      <c r="A78" s="43">
        <f>IF(B78="","",COUNTIFS($M$5:$M$104,"&gt;"&amp;M78,$B$5:$B$104,"&lt;&gt;")+COUNTIFS($M$5:$M78,M78,$B$5:$B78,"&lt;&gt;"))</f>
        <v/>
      </c>
      <c r="B78" s="44">
        <f>IF(Participants!B78="","",Participants!B78)</f>
        <v/>
      </c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>
        <f>IF(B78="","",SUM(C78:L78))</f>
        <v/>
      </c>
    </row>
    <row r="79">
      <c r="A79" s="43">
        <f>IF(B79="","",COUNTIFS($M$5:$M$104,"&gt;"&amp;M79,$B$5:$B$104,"&lt;&gt;")+COUNTIFS($M$5:$M79,M79,$B$5:$B79,"&lt;&gt;"))</f>
        <v/>
      </c>
      <c r="B79" s="44">
        <f>IF(Participants!B79="","",Participants!B79)</f>
        <v/>
      </c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>
        <f>IF(B79="","",SUM(C79:L79))</f>
        <v/>
      </c>
    </row>
    <row r="80">
      <c r="A80" s="43">
        <f>IF(B80="","",COUNTIFS($M$5:$M$104,"&gt;"&amp;M80,$B$5:$B$104,"&lt;&gt;")+COUNTIFS($M$5:$M80,M80,$B$5:$B80,"&lt;&gt;"))</f>
        <v/>
      </c>
      <c r="B80" s="44">
        <f>IF(Participants!B80="","",Participants!B80)</f>
        <v/>
      </c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>
        <f>IF(B80="","",SUM(C80:L80))</f>
        <v/>
      </c>
    </row>
    <row r="81">
      <c r="A81" s="43">
        <f>IF(B81="","",COUNTIFS($M$5:$M$104,"&gt;"&amp;M81,$B$5:$B$104,"&lt;&gt;")+COUNTIFS($M$5:$M81,M81,$B$5:$B81,"&lt;&gt;"))</f>
        <v/>
      </c>
      <c r="B81" s="44">
        <f>IF(Participants!B81="","",Participants!B81)</f>
        <v/>
      </c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>
        <f>IF(B81="","",SUM(C81:L81))</f>
        <v/>
      </c>
    </row>
    <row r="82">
      <c r="A82" s="43">
        <f>IF(B82="","",COUNTIFS($M$5:$M$104,"&gt;"&amp;M82,$B$5:$B$104,"&lt;&gt;")+COUNTIFS($M$5:$M82,M82,$B$5:$B82,"&lt;&gt;"))</f>
        <v/>
      </c>
      <c r="B82" s="44">
        <f>IF(Participants!B82="","",Participants!B82)</f>
        <v/>
      </c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>
        <f>IF(B82="","",SUM(C82:L82))</f>
        <v/>
      </c>
    </row>
    <row r="83">
      <c r="A83" s="43">
        <f>IF(B83="","",COUNTIFS($M$5:$M$104,"&gt;"&amp;M83,$B$5:$B$104,"&lt;&gt;")+COUNTIFS($M$5:$M83,M83,$B$5:$B83,"&lt;&gt;"))</f>
        <v/>
      </c>
      <c r="B83" s="44">
        <f>IF(Participants!B83="","",Participants!B83)</f>
        <v/>
      </c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>
        <f>IF(B83="","",SUM(C83:L83))</f>
        <v/>
      </c>
    </row>
    <row r="84">
      <c r="A84" s="43">
        <f>IF(B84="","",COUNTIFS($M$5:$M$104,"&gt;"&amp;M84,$B$5:$B$104,"&lt;&gt;")+COUNTIFS($M$5:$M84,M84,$B$5:$B84,"&lt;&gt;"))</f>
        <v/>
      </c>
      <c r="B84" s="44">
        <f>IF(Participants!B84="","",Participants!B84)</f>
        <v/>
      </c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>
        <f>IF(B84="","",SUM(C84:L84))</f>
        <v/>
      </c>
    </row>
    <row r="85">
      <c r="A85" s="43">
        <f>IF(B85="","",COUNTIFS($M$5:$M$104,"&gt;"&amp;M85,$B$5:$B$104,"&lt;&gt;")+COUNTIFS($M$5:$M85,M85,$B$5:$B85,"&lt;&gt;"))</f>
        <v/>
      </c>
      <c r="B85" s="44">
        <f>IF(Participants!B85="","",Participants!B85)</f>
        <v/>
      </c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>
        <f>IF(B85="","",SUM(C85:L85))</f>
        <v/>
      </c>
    </row>
    <row r="86">
      <c r="A86" s="43">
        <f>IF(B86="","",COUNTIFS($M$5:$M$104,"&gt;"&amp;M86,$B$5:$B$104,"&lt;&gt;")+COUNTIFS($M$5:$M86,M86,$B$5:$B86,"&lt;&gt;"))</f>
        <v/>
      </c>
      <c r="B86" s="44">
        <f>IF(Participants!B86="","",Participants!B86)</f>
        <v/>
      </c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>
        <f>IF(B86="","",SUM(C86:L86))</f>
        <v/>
      </c>
    </row>
    <row r="87">
      <c r="A87" s="43">
        <f>IF(B87="","",COUNTIFS($M$5:$M$104,"&gt;"&amp;M87,$B$5:$B$104,"&lt;&gt;")+COUNTIFS($M$5:$M87,M87,$B$5:$B87,"&lt;&gt;"))</f>
        <v/>
      </c>
      <c r="B87" s="44">
        <f>IF(Participants!B87="","",Participants!B87)</f>
        <v/>
      </c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>
        <f>IF(B87="","",SUM(C87:L87))</f>
        <v/>
      </c>
    </row>
    <row r="88">
      <c r="A88" s="43">
        <f>IF(B88="","",COUNTIFS($M$5:$M$104,"&gt;"&amp;M88,$B$5:$B$104,"&lt;&gt;")+COUNTIFS($M$5:$M88,M88,$B$5:$B88,"&lt;&gt;"))</f>
        <v/>
      </c>
      <c r="B88" s="44">
        <f>IF(Participants!B88="","",Participants!B88)</f>
        <v/>
      </c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>
        <f>IF(B88="","",SUM(C88:L88))</f>
        <v/>
      </c>
    </row>
    <row r="89">
      <c r="A89" s="43">
        <f>IF(B89="","",COUNTIFS($M$5:$M$104,"&gt;"&amp;M89,$B$5:$B$104,"&lt;&gt;")+COUNTIFS($M$5:$M89,M89,$B$5:$B89,"&lt;&gt;"))</f>
        <v/>
      </c>
      <c r="B89" s="44">
        <f>IF(Participants!B89="","",Participants!B89)</f>
        <v/>
      </c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>
        <f>IF(B89="","",SUM(C89:L89))</f>
        <v/>
      </c>
    </row>
    <row r="90">
      <c r="A90" s="43">
        <f>IF(B90="","",COUNTIFS($M$5:$M$104,"&gt;"&amp;M90,$B$5:$B$104,"&lt;&gt;")+COUNTIFS($M$5:$M90,M90,$B$5:$B90,"&lt;&gt;"))</f>
        <v/>
      </c>
      <c r="B90" s="44">
        <f>IF(Participants!B90="","",Participants!B90)</f>
        <v/>
      </c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>
        <f>IF(B90="","",SUM(C90:L90))</f>
        <v/>
      </c>
    </row>
    <row r="91">
      <c r="A91" s="43">
        <f>IF(B91="","",COUNTIFS($M$5:$M$104,"&gt;"&amp;M91,$B$5:$B$104,"&lt;&gt;")+COUNTIFS($M$5:$M91,M91,$B$5:$B91,"&lt;&gt;"))</f>
        <v/>
      </c>
      <c r="B91" s="44">
        <f>IF(Participants!B91="","",Participants!B91)</f>
        <v/>
      </c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>
        <f>IF(B91="","",SUM(C91:L91))</f>
        <v/>
      </c>
    </row>
    <row r="92">
      <c r="A92" s="43">
        <f>IF(B92="","",COUNTIFS($M$5:$M$104,"&gt;"&amp;M92,$B$5:$B$104,"&lt;&gt;")+COUNTIFS($M$5:$M92,M92,$B$5:$B92,"&lt;&gt;"))</f>
        <v/>
      </c>
      <c r="B92" s="44">
        <f>IF(Participants!B92="","",Participants!B92)</f>
        <v/>
      </c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>
        <f>IF(B92="","",SUM(C92:L92))</f>
        <v/>
      </c>
    </row>
    <row r="93">
      <c r="A93" s="43">
        <f>IF(B93="","",COUNTIFS($M$5:$M$104,"&gt;"&amp;M93,$B$5:$B$104,"&lt;&gt;")+COUNTIFS($M$5:$M93,M93,$B$5:$B93,"&lt;&gt;"))</f>
        <v/>
      </c>
      <c r="B93" s="44">
        <f>IF(Participants!B93="","",Participants!B93)</f>
        <v/>
      </c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>
        <f>IF(B93="","",SUM(C93:L93))</f>
        <v/>
      </c>
    </row>
    <row r="94">
      <c r="A94" s="43">
        <f>IF(B94="","",COUNTIFS($M$5:$M$104,"&gt;"&amp;M94,$B$5:$B$104,"&lt;&gt;")+COUNTIFS($M$5:$M94,M94,$B$5:$B94,"&lt;&gt;"))</f>
        <v/>
      </c>
      <c r="B94" s="44">
        <f>IF(Participants!B94="","",Participants!B94)</f>
        <v/>
      </c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>
        <f>IF(B94="","",SUM(C94:L94))</f>
        <v/>
      </c>
    </row>
    <row r="95">
      <c r="A95" s="43">
        <f>IF(B95="","",COUNTIFS($M$5:$M$104,"&gt;"&amp;M95,$B$5:$B$104,"&lt;&gt;")+COUNTIFS($M$5:$M95,M95,$B$5:$B95,"&lt;&gt;"))</f>
        <v/>
      </c>
      <c r="B95" s="44">
        <f>IF(Participants!B95="","",Participants!B95)</f>
        <v/>
      </c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>
        <f>IF(B95="","",SUM(C95:L95))</f>
        <v/>
      </c>
    </row>
    <row r="96">
      <c r="A96" s="43">
        <f>IF(B96="","",COUNTIFS($M$5:$M$104,"&gt;"&amp;M96,$B$5:$B$104,"&lt;&gt;")+COUNTIFS($M$5:$M96,M96,$B$5:$B96,"&lt;&gt;"))</f>
        <v/>
      </c>
      <c r="B96" s="44">
        <f>IF(Participants!B96="","",Participants!B96)</f>
        <v/>
      </c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>
        <f>IF(B96="","",SUM(C96:L96))</f>
        <v/>
      </c>
    </row>
    <row r="97">
      <c r="A97" s="43">
        <f>IF(B97="","",COUNTIFS($M$5:$M$104,"&gt;"&amp;M97,$B$5:$B$104,"&lt;&gt;")+COUNTIFS($M$5:$M97,M97,$B$5:$B97,"&lt;&gt;"))</f>
        <v/>
      </c>
      <c r="B97" s="44">
        <f>IF(Participants!B97="","",Participants!B97)</f>
        <v/>
      </c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>
        <f>IF(B97="","",SUM(C97:L97))</f>
        <v/>
      </c>
    </row>
    <row r="98">
      <c r="A98" s="43">
        <f>IF(B98="","",COUNTIFS($M$5:$M$104,"&gt;"&amp;M98,$B$5:$B$104,"&lt;&gt;")+COUNTIFS($M$5:$M98,M98,$B$5:$B98,"&lt;&gt;"))</f>
        <v/>
      </c>
      <c r="B98" s="44">
        <f>IF(Participants!B98="","",Participants!B98)</f>
        <v/>
      </c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>
        <f>IF(B98="","",SUM(C98:L98))</f>
        <v/>
      </c>
    </row>
    <row r="99">
      <c r="A99" s="43">
        <f>IF(B99="","",COUNTIFS($M$5:$M$104,"&gt;"&amp;M99,$B$5:$B$104,"&lt;&gt;")+COUNTIFS($M$5:$M99,M99,$B$5:$B99,"&lt;&gt;"))</f>
        <v/>
      </c>
      <c r="B99" s="44">
        <f>IF(Participants!B99="","",Participants!B99)</f>
        <v/>
      </c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>
        <f>IF(B99="","",SUM(C99:L99))</f>
        <v/>
      </c>
    </row>
    <row r="100">
      <c r="A100" s="43">
        <f>IF(B100="","",COUNTIFS($M$5:$M$104,"&gt;"&amp;M100,$B$5:$B$104,"&lt;&gt;")+COUNTIFS($M$5:$M100,M100,$B$5:$B100,"&lt;&gt;"))</f>
        <v/>
      </c>
      <c r="B100" s="44">
        <f>IF(Participants!B100="","",Participants!B100)</f>
        <v/>
      </c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>
        <f>IF(B100="","",SUM(C100:L100))</f>
        <v/>
      </c>
    </row>
    <row r="101">
      <c r="A101" s="43">
        <f>IF(B101="","",COUNTIFS($M$5:$M$104,"&gt;"&amp;M101,$B$5:$B$104,"&lt;&gt;")+COUNTIFS($M$5:$M101,M101,$B$5:$B101,"&lt;&gt;"))</f>
        <v/>
      </c>
      <c r="B101" s="44">
        <f>IF(Participants!B101="","",Participants!B101)</f>
        <v/>
      </c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>
        <f>IF(B101="","",SUM(C101:L101))</f>
        <v/>
      </c>
    </row>
    <row r="102">
      <c r="A102" s="43">
        <f>IF(B102="","",COUNTIFS($M$5:$M$104,"&gt;"&amp;M102,$B$5:$B$104,"&lt;&gt;")+COUNTIFS($M$5:$M102,M102,$B$5:$B102,"&lt;&gt;"))</f>
        <v/>
      </c>
      <c r="B102" s="44">
        <f>IF(Participants!B102="","",Participants!B102)</f>
        <v/>
      </c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>
        <f>IF(B102="","",SUM(C102:L102))</f>
        <v/>
      </c>
    </row>
    <row r="103">
      <c r="A103" s="43">
        <f>IF(B103="","",COUNTIFS($M$5:$M$104,"&gt;"&amp;M103,$B$5:$B$104,"&lt;&gt;")+COUNTIFS($M$5:$M103,M103,$B$5:$B103,"&lt;&gt;"))</f>
        <v/>
      </c>
      <c r="B103" s="44">
        <f>IF(Participants!B103="","",Participants!B103)</f>
        <v/>
      </c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>
        <f>IF(B103="","",SUM(C103:L103))</f>
        <v/>
      </c>
    </row>
    <row r="104">
      <c r="A104" s="43">
        <f>IF(B104="","",COUNTIFS($M$5:$M$104,"&gt;"&amp;M104,$B$5:$B$104,"&lt;&gt;")+COUNTIFS($M$5:$M104,M104,$B$5:$B104,"&lt;&gt;"))</f>
        <v/>
      </c>
      <c r="B104" s="44">
        <f>IF(Participants!B104="","",Participants!B104)</f>
        <v/>
      </c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>
        <f>IF(B104="","",SUM(C104:L104))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2026-05-25T05:10:24Z</dcterms:created>
  <dcterms:modified xsi:type="dcterms:W3CDTF">2026-05-25T05:10:24Z</dcterms:modified>
</cp:coreProperties>
</file>